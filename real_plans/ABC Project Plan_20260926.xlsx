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1B9AE00-CB9B-4539-AA12-73C6E1199E32}" xr6:coauthVersionLast="47" xr6:coauthVersionMax="47" xr10:uidLastSave="{00000000-0000-0000-0000-000000000000}"/>
  <bookViews>
    <workbookView xWindow="-120" yWindow="-120" windowWidth="25440" windowHeight="15270" firstSheet="1" activeTab="1" xr2:uid="{00000000-000D-0000-FFFF-FFFF00000000}"/>
  </bookViews>
  <sheets>
    <sheet name="Full Documentation List (2)" sheetId="1" state="hidden" r:id="rId1"/>
    <sheet name="Project Plan" sheetId="2" r:id="rId2"/>
    <sheet name="QC Documentation List" sheetId="7" r:id="rId3"/>
    <sheet name="已完成-行动项" sheetId="4" state="hidden" r:id="rId4"/>
    <sheet name="PV排产计划表-原始" sheetId="5" state="hidden" r:id="rId5"/>
    <sheet name="15 kg 毒理批排产计划表-221115 已完成 9.38" sheetId="6" state="hidden" r:id="rId6"/>
  </sheets>
  <definedNames>
    <definedName name="_xlnm._FilterDatabase" localSheetId="0">'Full Documentation List (2)'!$A$2:$J$47</definedName>
    <definedName name="_xlnm._FilterDatabase" localSheetId="1">'Project Plan'!$A$1:$I$65</definedName>
    <definedName name="_xlnm._FilterDatabase" localSheetId="2">'QC Documentation List'!$A$2:$J$30</definedName>
    <definedName name="OLE_LINK10" localSheetId="0">'Full Documentation List (2)'!$C$46</definedName>
    <definedName name="OLE_LINK10" localSheetId="2">'QC Documentation List'!#REF!</definedName>
    <definedName name="OLE_LINK11" localSheetId="0">'Full Documentation List (2)'!#REF!</definedName>
    <definedName name="OLE_LINK11" localSheetId="2">'QC Documentation List'!#REF!</definedName>
    <definedName name="OLE_LINK12" localSheetId="0">'Full Documentation List (2)'!#REF!</definedName>
    <definedName name="OLE_LINK12" localSheetId="2">'QC Documentation List'!#REF!</definedName>
    <definedName name="OLE_LINK13" localSheetId="0">'Full Documentation List (2)'!$C$60</definedName>
    <definedName name="OLE_LINK13" localSheetId="2">'QC Documentation List'!$C$43</definedName>
    <definedName name="OLE_LINK14" localSheetId="0">'Full Documentation List (2)'!$D$55</definedName>
    <definedName name="OLE_LINK14" localSheetId="2">'QC Documentation List'!$D$38</definedName>
    <definedName name="OLE_LINK18" localSheetId="0">'Full Documentation List (2)'!$C$44</definedName>
    <definedName name="OLE_LINK18" localSheetId="2">'QC Documentation List'!#REF!</definedName>
    <definedName name="OLE_LINK21" localSheetId="0">'Full Documentation List (2)'!#REF!</definedName>
    <definedName name="OLE_LINK21" localSheetId="2">'QC Documentation List'!#REF!</definedName>
    <definedName name="OLE_LINK22" localSheetId="0">'Full Documentation List (2)'!#REF!</definedName>
    <definedName name="OLE_LINK22" localSheetId="2">'QC Documentation List'!#REF!</definedName>
    <definedName name="OLE_LINK23" localSheetId="0">'Full Documentation List (2)'!$C$51</definedName>
    <definedName name="OLE_LINK23" localSheetId="2">'QC Documentation List'!$C$34</definedName>
    <definedName name="OLE_LINK24" localSheetId="0">'Full Documentation List (2)'!$C$50</definedName>
    <definedName name="OLE_LINK24" localSheetId="2">'QC Documentation List'!$C$33</definedName>
    <definedName name="OLE_LINK25" localSheetId="0">'Full Documentation List (2)'!$C$55</definedName>
    <definedName name="OLE_LINK25" localSheetId="2">'QC Documentation List'!$C$38</definedName>
    <definedName name="OLE_LINK26" localSheetId="0">'Full Documentation List (2)'!$C$59</definedName>
    <definedName name="OLE_LINK26" localSheetId="2">'QC Documentation List'!$C$42</definedName>
    <definedName name="OLE_LINK29" localSheetId="0">'Full Documentation List (2)'!$F$45</definedName>
    <definedName name="OLE_LINK29" localSheetId="2">'QC Documentation List'!#REF!</definedName>
    <definedName name="OLE_LINK3" localSheetId="0">'Full Documentation List (2)'!$C$14</definedName>
    <definedName name="OLE_LINK3" localSheetId="2">'QC Documentation List'!#REF!</definedName>
    <definedName name="OLE_LINK4" localSheetId="0">'Full Documentation List (2)'!#REF!</definedName>
    <definedName name="OLE_LINK4" localSheetId="2">'QC Documentation List'!#REF!</definedName>
    <definedName name="OLE_LINK5" localSheetId="0">'Full Documentation List (2)'!$C$40</definedName>
    <definedName name="OLE_LINK5" localSheetId="2">'QC Documentation List'!#REF!</definedName>
    <definedName name="OLE_LINK6" localSheetId="0">'Full Documentation List (2)'!#REF!</definedName>
    <definedName name="OLE_LINK6" localSheetId="2">'QC Documentation List'!#REF!</definedName>
    <definedName name="OLE_LINK7" localSheetId="0">'Full Documentation List (2)'!$F$31</definedName>
    <definedName name="OLE_LINK7" localSheetId="2">'QC Documentation List'!#REF!</definedName>
    <definedName name="OLE_LINK8" localSheetId="0">'Full Documentation List (2)'!$C$65</definedName>
    <definedName name="OLE_LINK8" localSheetId="2">'QC Documentation List'!$C$48</definedName>
    <definedName name="OLE_LINK9" localSheetId="0">'Full Documentation List (2)'!#REF!</definedName>
    <definedName name="OLE_LINK9" localSheetId="2">'QC Documentation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2" l="1"/>
  <c r="B63" i="2"/>
  <c r="B62" i="2"/>
  <c r="B61" i="2"/>
  <c r="B60" i="2"/>
  <c r="B58" i="2"/>
  <c r="B57" i="2"/>
  <c r="B56" i="2"/>
  <c r="B54" i="2"/>
  <c r="B53" i="2"/>
  <c r="B52" i="2"/>
  <c r="B50" i="2"/>
  <c r="B49" i="2"/>
  <c r="B47" i="2"/>
  <c r="B46" i="2"/>
  <c r="B45" i="2"/>
  <c r="B44" i="2"/>
  <c r="B42" i="2"/>
  <c r="B41" i="2"/>
  <c r="B40" i="2"/>
  <c r="B39" i="2"/>
  <c r="B38" i="2"/>
  <c r="B37" i="2"/>
  <c r="B35" i="2"/>
  <c r="B34" i="2"/>
  <c r="B32" i="2"/>
  <c r="B31" i="2"/>
  <c r="B30" i="2"/>
  <c r="B28" i="2"/>
  <c r="B27" i="2"/>
  <c r="B26" i="2"/>
  <c r="B25" i="2"/>
  <c r="B24" i="2"/>
  <c r="B23" i="2"/>
  <c r="B22" i="2"/>
  <c r="B21" i="2"/>
  <c r="B19" i="2"/>
  <c r="B18" i="2"/>
  <c r="B17" i="2"/>
  <c r="B16" i="2"/>
  <c r="B15" i="2"/>
  <c r="B14" i="2"/>
  <c r="B13" i="2"/>
  <c r="B12" i="2"/>
  <c r="E29" i="2"/>
  <c r="E33" i="2"/>
  <c r="E36" i="2"/>
  <c r="E51" i="2"/>
  <c r="E55" i="2"/>
  <c r="E59" i="2"/>
  <c r="E48" i="2" l="1"/>
  <c r="E43" i="2" s="1"/>
  <c r="F11" i="2"/>
  <c r="E11" i="2"/>
  <c r="E20" i="2"/>
  <c r="F20" i="2"/>
  <c r="G28" i="2"/>
  <c r="G24" i="2"/>
  <c r="G64" i="2" l="1"/>
  <c r="G63" i="2"/>
  <c r="G62" i="2"/>
  <c r="G61" i="2"/>
  <c r="G60" i="2"/>
  <c r="F59" i="2"/>
  <c r="G59" i="2" s="1"/>
  <c r="G58" i="2"/>
  <c r="G57" i="2"/>
  <c r="G56" i="2"/>
  <c r="F55" i="2"/>
  <c r="G55" i="2" s="1"/>
  <c r="G54" i="2"/>
  <c r="G53" i="2"/>
  <c r="G52" i="2"/>
  <c r="F51" i="2"/>
  <c r="G50" i="2"/>
  <c r="G47" i="2"/>
  <c r="G46" i="2"/>
  <c r="G45" i="2"/>
  <c r="G44" i="2"/>
  <c r="F43" i="2"/>
  <c r="G42" i="2"/>
  <c r="G41" i="2"/>
  <c r="G40" i="2"/>
  <c r="G39" i="2"/>
  <c r="G38" i="2"/>
  <c r="G37" i="2"/>
  <c r="F36" i="2"/>
  <c r="G36" i="2"/>
  <c r="G35" i="2"/>
  <c r="G34" i="2"/>
  <c r="F33" i="2"/>
  <c r="G33" i="2" s="1"/>
  <c r="G32" i="2"/>
  <c r="G31" i="2"/>
  <c r="G30" i="2"/>
  <c r="F29" i="2"/>
  <c r="G29" i="2" s="1"/>
  <c r="G27" i="2"/>
  <c r="G26" i="2"/>
  <c r="G25" i="2"/>
  <c r="G23" i="2"/>
  <c r="G22" i="2"/>
  <c r="G21" i="2"/>
  <c r="G19" i="2"/>
  <c r="G18" i="2"/>
  <c r="G17" i="2"/>
  <c r="G16" i="2"/>
  <c r="G15" i="2"/>
  <c r="G14" i="2"/>
  <c r="G13" i="2"/>
  <c r="G12" i="2"/>
  <c r="G11" i="2"/>
  <c r="B4" i="2"/>
  <c r="H31" i="1"/>
  <c r="I31" i="1" s="1"/>
  <c r="H30" i="1"/>
  <c r="I30" i="1" s="1"/>
  <c r="H29" i="1"/>
  <c r="I29" i="1" s="1"/>
  <c r="I28" i="1"/>
  <c r="H28" i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18" i="1"/>
  <c r="I18" i="1" s="1"/>
  <c r="H17" i="1"/>
  <c r="I17" i="1" s="1"/>
  <c r="H16" i="1"/>
  <c r="I16" i="1" s="1"/>
  <c r="H13" i="1"/>
  <c r="I13" i="1" s="1"/>
  <c r="H12" i="1"/>
  <c r="I12" i="1" s="1"/>
  <c r="H11" i="1"/>
  <c r="I11" i="1" s="1"/>
  <c r="H8" i="1"/>
  <c r="I8" i="1" s="1"/>
  <c r="H7" i="1"/>
  <c r="I7" i="1" s="1"/>
  <c r="H5" i="1"/>
  <c r="I5" i="1" s="1"/>
  <c r="F48" i="2" l="1"/>
  <c r="G48" i="2" s="1"/>
  <c r="G20" i="2"/>
  <c r="G43" i="2"/>
  <c r="G51" i="2"/>
</calcChain>
</file>

<file path=xl/sharedStrings.xml><?xml version="1.0" encoding="utf-8"?>
<sst xmlns="http://schemas.openxmlformats.org/spreadsheetml/2006/main" count="890" uniqueCount="406">
  <si>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</si>
  <si>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</si>
  <si>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</si>
  <si>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</si>
  <si>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</si>
  <si>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</si>
  <si>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</si>
  <si>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</si>
  <si>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</si>
  <si>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</si>
  <si>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</si>
  <si>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</si>
  <si>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</si>
  <si>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</si>
  <si>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</si>
  <si>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</si>
  <si>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</si>
  <si>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</si>
  <si>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</si>
  <si>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</si>
  <si>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</si>
  <si>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</si>
  <si>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</si>
  <si>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</si>
  <si>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</si>
  <si>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</si>
  <si>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</si>
  <si>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</si>
  <si>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</si>
  <si>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</si>
  <si>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</si>
  <si>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</si>
  <si>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</si>
  <si>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</si>
  <si>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</si>
  <si>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</si>
  <si>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</si>
  <si>
    <t xml:space="preserve">Update IPC specs </t>
  </si>
  <si>
    <t>Updated based on customer comments</t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</si>
  <si>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</si>
  <si>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</si>
  <si>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</si>
  <si>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</si>
  <si>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</si>
  <si>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</si>
  <si>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</si>
  <si>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</si>
  <si>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</si>
  <si>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</si>
  <si>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</si>
  <si>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</si>
  <si>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</si>
  <si>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</si>
  <si>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</si>
  <si>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</si>
  <si>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</si>
  <si>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</si>
  <si>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</si>
  <si>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</si>
  <si>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</si>
  <si>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</si>
  <si>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</si>
  <si>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</si>
  <si>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</si>
  <si>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</si>
  <si>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</si>
  <si>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</si>
  <si>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</si>
  <si>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</si>
  <si>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</si>
  <si>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</si>
  <si>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</si>
  <si>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</si>
  <si>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</si>
  <si>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</si>
  <si>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</si>
  <si>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</si>
  <si>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</si>
  <si>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</si>
  <si>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</si>
  <si>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</si>
  <si>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</si>
  <si>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</si>
  <si>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</si>
  <si>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</si>
  <si>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</si>
  <si>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</si>
  <si>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</si>
  <si>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</si>
  <si>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</si>
  <si>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</si>
  <si>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</si>
  <si>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</si>
  <si>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Start Date</t>
  </si>
  <si>
    <t>Finish Date</t>
  </si>
  <si>
    <t>Project Period</t>
  </si>
  <si>
    <t>Day</t>
  </si>
  <si>
    <t>Project Plan</t>
  </si>
  <si>
    <t>Tech Transfer+Method Transfer &amp; Qualification+10 kg DS Manufacturing</t>
  </si>
  <si>
    <t>Work Scope</t>
  </si>
  <si>
    <t>Task ID</t>
  </si>
  <si>
    <t>Task Description</t>
  </si>
  <si>
    <t>Owner</t>
  </si>
  <si>
    <t>Duration</t>
  </si>
  <si>
    <t>Tech Transfer</t>
  </si>
  <si>
    <t>non-GMP Process Documentation</t>
  </si>
  <si>
    <t>Raw Material List provided by CMC</t>
  </si>
  <si>
    <t>Process Documents provided by CMC</t>
  </si>
  <si>
    <t>Step 6 MBR Finalization</t>
  </si>
  <si>
    <t>Step 7 MBR Finalization</t>
  </si>
  <si>
    <t>Step 8 MBR Finalization</t>
  </si>
  <si>
    <t>Step 9 MBR Finalization</t>
  </si>
  <si>
    <t>Step 1 MBR Finalization</t>
  </si>
  <si>
    <t>Step 2 MBR Finalization</t>
  </si>
  <si>
    <t>Method Transfer &amp; Qualification</t>
  </si>
  <si>
    <t>Method Transfer&amp;Qualification</t>
  </si>
  <si>
    <t>non-GMP Method Documents Transfer</t>
  </si>
  <si>
    <t>GMP Method Documents &amp; Template Transfer</t>
  </si>
  <si>
    <t>Analytical Material List provided by CMC</t>
  </si>
  <si>
    <t>Method Qualification Experiments</t>
  </si>
  <si>
    <t>Materials Purchasing &amp; Preparation</t>
  </si>
  <si>
    <t>Purchasing</t>
  </si>
  <si>
    <t>GMP materials purchasing and release</t>
  </si>
  <si>
    <t>RSM Batch Release</t>
  </si>
  <si>
    <t>Side Chain1 Production(non-GMP)</t>
  </si>
  <si>
    <t>Step 6 Synthesis&amp;IPC in Taizhou Langhua</t>
  </si>
  <si>
    <t>Side Chain 2 Production(non-GMP)</t>
  </si>
  <si>
    <t>Step 7 Synthesis&amp;IPC in Taizhou Langhua</t>
  </si>
  <si>
    <t>Step 8 Synthesis&amp;IPC in Taizhou Langhua</t>
  </si>
  <si>
    <t>Step 9 Synthesis&amp;IPC in Taizhou Langhua</t>
  </si>
  <si>
    <t>Main Chain Production (non-GMP)</t>
  </si>
  <si>
    <t>Step 1 Synthesis&amp;IPC in Taizhou Langhua</t>
  </si>
  <si>
    <t>Main Chain Production (GMP)</t>
  </si>
  <si>
    <t>Mock Audit</t>
  </si>
  <si>
    <t>TBD</t>
  </si>
  <si>
    <t>EHS</t>
  </si>
  <si>
    <t>Process Safety Assessment</t>
  </si>
  <si>
    <t>Step 3 MBR drafted by Taizhou Langhua</t>
  </si>
  <si>
    <t>Step 3 GMP Production</t>
  </si>
  <si>
    <t>Step 4 MBR drafted by Taizhou Langhua</t>
  </si>
  <si>
    <t>Step 4 GMP Production</t>
  </si>
  <si>
    <t>Step 5 MBR drafte by Taizhou Langhua</t>
  </si>
  <si>
    <t>Step 5 GMP Production</t>
  </si>
  <si>
    <t>API Batch Release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</si>
  <si>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</si>
  <si>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</si>
  <si>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</si>
  <si>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</si>
  <si>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</si>
  <si>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</si>
  <si>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</si>
  <si>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</si>
  <si>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</si>
  <si>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</si>
  <si>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</si>
  <si>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</si>
  <si>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</si>
  <si>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</si>
  <si>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</si>
  <si>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</si>
  <si>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</si>
  <si>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</si>
  <si>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</si>
  <si>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</si>
  <si>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</si>
  <si>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</si>
  <si>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</si>
  <si>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</si>
  <si>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</si>
  <si>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</si>
  <si>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</si>
  <si>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</si>
  <si>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</si>
  <si>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</si>
  <si>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</si>
  <si>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</si>
  <si>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</si>
  <si>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</si>
  <si>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</si>
  <si>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</si>
  <si>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</si>
  <si>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</si>
  <si>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</si>
  <si>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</si>
  <si>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</si>
  <si>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</si>
  <si>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</si>
  <si>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</si>
  <si>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</si>
  <si>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</si>
  <si>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</si>
  <si>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</si>
  <si>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</si>
  <si>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</si>
  <si>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</si>
  <si>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</si>
  <si>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</si>
  <si>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</si>
  <si>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</si>
  <si>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</si>
  <si>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</si>
  <si>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</si>
  <si>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</si>
  <si>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</si>
  <si>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</si>
  <si>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</si>
  <si>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</si>
  <si>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</si>
  <si>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</si>
  <si>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</si>
  <si>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</si>
  <si>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</si>
  <si>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</si>
  <si>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</si>
  <si>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</si>
  <si>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</si>
  <si>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</si>
  <si>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</si>
  <si>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</si>
  <si>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</si>
  <si>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</si>
  <si>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</si>
  <si>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</si>
  <si>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</si>
  <si>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</si>
  <si>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</si>
  <si>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</si>
  <si>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</si>
  <si>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</si>
  <si>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</si>
  <si>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</si>
  <si>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</si>
  <si>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</si>
  <si>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</si>
  <si>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</si>
  <si>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</si>
  <si>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</si>
  <si>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</si>
  <si>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</si>
  <si>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</si>
  <si>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</si>
  <si>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</si>
  <si>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</si>
  <si>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</si>
  <si>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</si>
  <si>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</si>
  <si>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</si>
  <si>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</si>
  <si>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</si>
  <si>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</si>
  <si>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</si>
  <si>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</si>
  <si>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</si>
  <si>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</si>
  <si>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</si>
  <si>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</si>
  <si>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</si>
  <si>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</si>
  <si>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</si>
  <si>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</si>
  <si>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</si>
  <si>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</si>
  <si>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</si>
  <si>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</si>
  <si>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</si>
  <si>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</si>
  <si>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</si>
  <si>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</si>
  <si>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</si>
  <si>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</si>
  <si>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</si>
  <si>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</si>
  <si>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</si>
  <si>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</si>
  <si>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</si>
  <si>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</si>
  <si>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</si>
  <si>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</si>
  <si>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</si>
  <si>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</si>
  <si>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</si>
  <si>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</si>
  <si>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</si>
  <si>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</si>
  <si>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</si>
  <si>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</si>
  <si>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</si>
  <si>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</si>
  <si>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</si>
  <si>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</si>
  <si>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</si>
  <si>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</si>
  <si>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</si>
  <si>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</si>
  <si>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</si>
  <si>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</si>
  <si>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</si>
  <si>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</si>
  <si>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</si>
  <si>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</si>
  <si>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</si>
  <si>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</si>
  <si>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</si>
  <si>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</si>
  <si>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</si>
  <si>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</si>
  <si>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</si>
  <si>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</si>
  <si>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</si>
  <si>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</si>
  <si>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</si>
  <si>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</si>
  <si>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</si>
  <si>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</si>
  <si>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API Shipment</t>
    <phoneticPr fontId="1" type="noConversion"/>
  </si>
  <si>
    <t>Qualification Protocol for GMP Production</t>
    <phoneticPr fontId="1" type="noConversion"/>
  </si>
  <si>
    <t>Specifications</t>
    <phoneticPr fontId="1" type="noConversion"/>
  </si>
  <si>
    <t>Spec of LHA021.P1</t>
    <phoneticPr fontId="1" type="noConversion"/>
  </si>
  <si>
    <t>Reference Standard Qualification</t>
    <phoneticPr fontId="1" type="noConversion"/>
  </si>
  <si>
    <t>Reference standard qualification protocol</t>
    <phoneticPr fontId="1" type="noConversion"/>
  </si>
  <si>
    <t>No</t>
    <phoneticPr fontId="1" type="noConversion"/>
  </si>
  <si>
    <t>/</t>
    <phoneticPr fontId="1" type="noConversion"/>
  </si>
  <si>
    <t>Yes</t>
    <phoneticPr fontId="1" type="noConversion"/>
  </si>
  <si>
    <t>COA is ready</t>
    <phoneticPr fontId="1" type="noConversion"/>
  </si>
  <si>
    <t>Structure confirmation report</t>
    <phoneticPr fontId="1" type="noConversion"/>
  </si>
  <si>
    <t>Stability-indicating Method Development</t>
    <phoneticPr fontId="1" type="noConversion"/>
  </si>
  <si>
    <t>Method development report including forced degradation study</t>
    <phoneticPr fontId="1" type="noConversion"/>
  </si>
  <si>
    <t xml:space="preserve">Method Documents </t>
    <phoneticPr fontId="1" type="noConversion"/>
  </si>
  <si>
    <t xml:space="preserve">RD method: Assay and related substances </t>
    <phoneticPr fontId="1" type="noConversion"/>
  </si>
  <si>
    <t>RD method: Chiral purity</t>
    <phoneticPr fontId="1" type="noConversion"/>
  </si>
  <si>
    <t>RD method: Residual solvents</t>
    <phoneticPr fontId="1" type="noConversion"/>
  </si>
  <si>
    <t xml:space="preserve">RD method: Elemental Impurities Determination Method </t>
    <phoneticPr fontId="1" type="noConversion"/>
  </si>
  <si>
    <t xml:space="preserve">RD method: Particle Size Determination Method </t>
    <phoneticPr fontId="1" type="noConversion"/>
  </si>
  <si>
    <t xml:space="preserve">RD method: Microbial Limit Test Method </t>
    <phoneticPr fontId="1" type="noConversion"/>
  </si>
  <si>
    <t xml:space="preserve">GMP release method: Assay and related substances </t>
    <phoneticPr fontId="1" type="noConversion"/>
  </si>
  <si>
    <t>GMP release method: Chiral purity</t>
    <phoneticPr fontId="1" type="noConversion"/>
  </si>
  <si>
    <t>GMP release method: Residual solvents</t>
    <phoneticPr fontId="1" type="noConversion"/>
  </si>
  <si>
    <t xml:space="preserve">GMP release method: Elemental Impurities Determination Method </t>
    <phoneticPr fontId="1" type="noConversion"/>
  </si>
  <si>
    <t xml:space="preserve">GMP release method: Particle Size Determination Method </t>
    <phoneticPr fontId="1" type="noConversion"/>
  </si>
  <si>
    <t xml:space="preserve">GMP release method: Microbial Limit Test Method </t>
    <phoneticPr fontId="1" type="noConversion"/>
  </si>
  <si>
    <t>Mehotd Qualification</t>
    <phoneticPr fontId="1" type="noConversion"/>
  </si>
  <si>
    <t xml:space="preserve">Qualification protocol of Assay and related substances </t>
    <phoneticPr fontId="1" type="noConversion"/>
  </si>
  <si>
    <t>Qualification protocol of Chiral purity</t>
    <phoneticPr fontId="1" type="noConversion"/>
  </si>
  <si>
    <t>Qualification  protocol of Residual solvents</t>
    <phoneticPr fontId="1" type="noConversion"/>
  </si>
  <si>
    <t xml:space="preserve">Qualification  protocol of Elemental Impurities Determination Method </t>
    <phoneticPr fontId="1" type="noConversion"/>
  </si>
  <si>
    <t xml:space="preserve">Qualification  protocol of  Particle Size </t>
    <phoneticPr fontId="1" type="noConversion"/>
  </si>
  <si>
    <t xml:space="preserve">Qualification  protocol of Microbial Limit Test Method </t>
    <phoneticPr fontId="1" type="noConversion"/>
  </si>
  <si>
    <t xml:space="preserve">Qualification report of Assay and related substances </t>
    <phoneticPr fontId="1" type="noConversion"/>
  </si>
  <si>
    <t>Qualification report of Chiral purity</t>
    <phoneticPr fontId="1" type="noConversion"/>
  </si>
  <si>
    <t>Qualification report of Residual solvents</t>
    <phoneticPr fontId="1" type="noConversion"/>
  </si>
  <si>
    <t xml:space="preserve">Qualification report of Elemental Impurities Determination Method </t>
    <phoneticPr fontId="1" type="noConversion"/>
  </si>
  <si>
    <t xml:space="preserve">Qualification report of  Particle Size </t>
    <phoneticPr fontId="1" type="noConversion"/>
  </si>
  <si>
    <t xml:space="preserve">Qualification report of Microbial Limit Test Method </t>
    <phoneticPr fontId="1" type="noConversion"/>
  </si>
  <si>
    <t>Stability study</t>
    <phoneticPr fontId="1" type="noConversion"/>
  </si>
  <si>
    <t>Stability study protocol</t>
    <phoneticPr fontId="1" type="noConversion"/>
  </si>
  <si>
    <t>Stability study report</t>
    <phoneticPr fontId="1" type="noConversion"/>
  </si>
  <si>
    <t>TBD</t>
    <phoneticPr fontId="1" type="noConversion"/>
  </si>
  <si>
    <t>Gantt ChABCt (Time Unit)</t>
  </si>
  <si>
    <t>Potential Mock Audit by ABC</t>
  </si>
  <si>
    <t>Wayne</t>
  </si>
  <si>
    <t>Wayne/Jackey</t>
  </si>
  <si>
    <t>Sherry</t>
  </si>
  <si>
    <t>ABC/Sherry</t>
  </si>
  <si>
    <t>ABC/Jane</t>
  </si>
  <si>
    <t>Sherry/Lynn</t>
  </si>
  <si>
    <t>Lynn/Sherry</t>
  </si>
  <si>
    <t>Zoey</t>
  </si>
  <si>
    <t>Regulatory Starting Material Batch Release for XYZ001-D(step 2)</t>
  </si>
  <si>
    <t>Regulatory Starting Material Batch Release for XYZ001-G(step 9)</t>
  </si>
  <si>
    <t>XYZ001-C</t>
  </si>
  <si>
    <t>Step 6 Production(XYZ001-H  → XYZ001-C )</t>
  </si>
  <si>
    <t>XYZ001-K</t>
  </si>
  <si>
    <t>Step 7 Production(XYZ001-J  → XYZ001-K )</t>
  </si>
  <si>
    <t>XYZ001-M</t>
  </si>
  <si>
    <t>Step 8 Production(XYZ001-K  → XYZ001-M )</t>
  </si>
  <si>
    <t>XYZ001-G(RSM)</t>
  </si>
  <si>
    <t>Step 9 Production(XYZ001-M  → XYZ001-G )</t>
  </si>
  <si>
    <t>XYZ001-B</t>
  </si>
  <si>
    <t>Step 1 Production(XYZ001-A  → XYZ001-B )</t>
  </si>
  <si>
    <t>XYZ001-D(RSM)</t>
  </si>
  <si>
    <t>Step 2 Production(XYZ001-B  → XYZ001-D )</t>
  </si>
  <si>
    <t>Step 2 Synthesis&amp;Starting Material Batch Release for XYZ001-D</t>
  </si>
  <si>
    <t>XYZ001-E</t>
  </si>
  <si>
    <t>Step 3(XYZ001-D  → XYZ001-E )</t>
  </si>
  <si>
    <t>XYZ001-F</t>
  </si>
  <si>
    <t>Step 4(XYZ001-E  → XYZ001-F)</t>
  </si>
  <si>
    <t>XYZ001.P1(ABC352)</t>
  </si>
  <si>
    <t>Step 5(XYZ001-F  → XYZ001.P1 )</t>
  </si>
  <si>
    <t>ABC</t>
  </si>
  <si>
    <t>The RD methods do not require ABC signature</t>
  </si>
  <si>
    <t>Amy</t>
  </si>
  <si>
    <t>Jackey/Lily Chen</t>
  </si>
  <si>
    <t>Jackey/Lily Chen</t>
    <phoneticPr fontId="1" type="noConversion"/>
  </si>
  <si>
    <t xml:space="preserve"> Joyce/Cherry</t>
    <phoneticPr fontId="1" type="noConversion"/>
  </si>
  <si>
    <t>Lucas/Wayne</t>
    <phoneticPr fontId="1" type="noConversion"/>
  </si>
  <si>
    <t>Zoey</t>
    <phoneticPr fontId="1" type="noConversion"/>
  </si>
  <si>
    <t>ABC/Lynn</t>
    <phoneticPr fontId="1" type="noConversion"/>
  </si>
  <si>
    <t>Amy</t>
    <phoneticPr fontId="1" type="noConversion"/>
  </si>
  <si>
    <t>ABC123</t>
    <phoneticPr fontId="1" type="noConversion"/>
  </si>
  <si>
    <t>XYZ001.P1(ABC123)</t>
    <phoneticPr fontId="1" type="noConversion"/>
  </si>
  <si>
    <t>Qualification Protocol Review and Approval by ABC</t>
    <phoneticPr fontId="1" type="noConversion"/>
  </si>
  <si>
    <t>Scope&amp;Parameters Confirmed by ABC</t>
  </si>
  <si>
    <t>Qualification Report Review and Approval by ABC</t>
  </si>
  <si>
    <t>Step 3 MBR review and approval by ABC</t>
  </si>
  <si>
    <t>Step 4 MBR review and approval by ABC</t>
  </si>
  <si>
    <t>Step 5 MBR review and approval by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</si>
</sst>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[$¥-804]* #,##0.0_ ;_ [$¥-804]* \-#,##0.0_ ;_ [$¥-804]* &quot;-&quot;??_ ;_ @_ "/>
  </numFmts>
  <fonts count="30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9">
    <xf numFmtId="0" fontId="0" fillId="0" borderId="0" xfId="0">
      <alignment vertical="center"/>
    </xf>
    <xf numFmtId="176" fontId="2" fillId="0" borderId="0" xfId="0" applyNumberFormat="1" applyFont="1" applyAlignment="1">
      <alignment vertical="top" wrapText="1"/>
    </xf>
    <xf numFmtId="176" fontId="3" fillId="2" borderId="1" xfId="0" applyNumberFormat="1" applyFont="1" applyFill="1" applyBorder="1" applyAlignment="1"/>
    <xf numFmtId="176" fontId="3" fillId="2" borderId="2" xfId="0" applyNumberFormat="1" applyFont="1" applyFill="1" applyBorder="1" applyAlignment="1"/>
    <xf numFmtId="176" fontId="3" fillId="2" borderId="1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Alignment="1"/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0" borderId="3" xfId="0" applyNumberFormat="1" applyFont="1" applyBorder="1">
      <alignment vertical="center"/>
    </xf>
    <xf numFmtId="22" fontId="6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22" fontId="7" fillId="0" borderId="3" xfId="0" applyNumberFormat="1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3" xfId="0" applyNumberFormat="1" applyFont="1" applyBorder="1">
      <alignment vertical="center"/>
    </xf>
    <xf numFmtId="176" fontId="6" fillId="0" borderId="4" xfId="0" applyNumberFormat="1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8" fillId="0" borderId="0" xfId="0" applyNumberFormat="1" applyFont="1">
      <alignment vertic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vertical="center" wrapText="1"/>
    </xf>
    <xf numFmtId="176" fontId="6" fillId="0" borderId="6" xfId="0" applyNumberFormat="1" applyFont="1" applyBorder="1" applyAlignment="1">
      <alignment vertical="center" wrapText="1"/>
    </xf>
    <xf numFmtId="176" fontId="6" fillId="0" borderId="4" xfId="0" applyNumberFormat="1" applyFont="1" applyBorder="1" applyAlignment="1">
      <alignment vertical="center" wrapText="1"/>
    </xf>
    <xf numFmtId="176" fontId="6" fillId="0" borderId="3" xfId="0" applyNumberFormat="1" applyFont="1" applyBorder="1" applyAlignment="1">
      <alignment vertical="center" wrapText="1"/>
    </xf>
    <xf numFmtId="176" fontId="9" fillId="4" borderId="7" xfId="0" applyNumberFormat="1" applyFont="1" applyFill="1" applyBorder="1" applyAlignment="1">
      <alignment horizontal="center" vertical="center" wrapText="1"/>
    </xf>
    <xf numFmtId="176" fontId="9" fillId="4" borderId="8" xfId="0" applyNumberFormat="1" applyFont="1" applyFill="1" applyBorder="1" applyAlignment="1">
      <alignment horizontal="center" vertical="center" wrapText="1"/>
    </xf>
    <xf numFmtId="176" fontId="9" fillId="4" borderId="8" xfId="0" applyNumberFormat="1" applyFont="1" applyFill="1" applyBorder="1">
      <alignment vertical="center"/>
    </xf>
    <xf numFmtId="176" fontId="9" fillId="4" borderId="8" xfId="0" applyNumberFormat="1" applyFont="1" applyFill="1" applyBorder="1" applyAlignment="1">
      <alignment horizontal="justify" vertical="center"/>
    </xf>
    <xf numFmtId="176" fontId="6" fillId="0" borderId="6" xfId="0" applyNumberFormat="1" applyFont="1" applyBorder="1" applyAlignment="1">
      <alignment horizontal="justify" vertical="center" wrapText="1"/>
    </xf>
    <xf numFmtId="176" fontId="6" fillId="0" borderId="5" xfId="0" applyNumberFormat="1" applyFont="1" applyBorder="1" applyAlignment="1">
      <alignment horizontal="justify" vertical="center" wrapText="1"/>
    </xf>
    <xf numFmtId="176" fontId="6" fillId="0" borderId="3" xfId="0" applyNumberFormat="1" applyFont="1" applyBorder="1" applyAlignment="1">
      <alignment horizontal="justify" vertical="center"/>
    </xf>
    <xf numFmtId="176" fontId="6" fillId="3" borderId="3" xfId="0" applyNumberFormat="1" applyFont="1" applyFill="1" applyBorder="1" applyAlignment="1">
      <alignment horizontal="justify" vertical="center"/>
    </xf>
    <xf numFmtId="176" fontId="6" fillId="3" borderId="3" xfId="0" applyNumberFormat="1" applyFont="1" applyFill="1" applyBorder="1">
      <alignment vertical="center"/>
    </xf>
    <xf numFmtId="14" fontId="6" fillId="3" borderId="3" xfId="0" applyNumberFormat="1" applyFont="1" applyFill="1" applyBorder="1" applyAlignment="1">
      <alignment horizontal="justify" vertical="center"/>
    </xf>
    <xf numFmtId="14" fontId="6" fillId="0" borderId="3" xfId="0" applyNumberFormat="1" applyFont="1" applyBorder="1" applyAlignment="1">
      <alignment horizontal="justify" vertical="center"/>
    </xf>
    <xf numFmtId="176" fontId="9" fillId="4" borderId="7" xfId="0" applyNumberFormat="1" applyFont="1" applyFill="1" applyBorder="1" applyAlignment="1">
      <alignment horizontal="justify" vertical="center"/>
    </xf>
    <xf numFmtId="14" fontId="10" fillId="5" borderId="9" xfId="0" applyNumberFormat="1" applyFont="1" applyFill="1" applyBorder="1" applyAlignment="1">
      <alignment horizontal="left" vertical="center"/>
    </xf>
    <xf numFmtId="176" fontId="10" fillId="5" borderId="10" xfId="0" applyNumberFormat="1" applyFont="1" applyFill="1" applyBorder="1">
      <alignment vertical="center"/>
    </xf>
    <xf numFmtId="1" fontId="10" fillId="5" borderId="10" xfId="0" applyNumberFormat="1" applyFont="1" applyFill="1" applyBorder="1" applyAlignment="1">
      <alignment horizontal="center" vertical="center"/>
    </xf>
    <xf numFmtId="176" fontId="10" fillId="5" borderId="10" xfId="0" applyNumberFormat="1" applyFont="1" applyFill="1" applyBorder="1" applyAlignment="1">
      <alignment vertical="center" wrapText="1"/>
    </xf>
    <xf numFmtId="14" fontId="10" fillId="5" borderId="10" xfId="0" applyNumberFormat="1" applyFont="1" applyFill="1" applyBorder="1">
      <alignment vertical="center"/>
    </xf>
    <xf numFmtId="176" fontId="10" fillId="5" borderId="10" xfId="0" applyNumberFormat="1" applyFont="1" applyFill="1" applyBorder="1" applyAlignment="1">
      <alignment horizontal="left" vertical="center" wrapText="1"/>
    </xf>
    <xf numFmtId="176" fontId="11" fillId="6" borderId="10" xfId="0" applyNumberFormat="1" applyFont="1" applyFill="1" applyBorder="1" applyAlignment="1">
      <alignment vertical="center" wrapText="1"/>
    </xf>
    <xf numFmtId="176" fontId="10" fillId="5" borderId="10" xfId="0" applyNumberFormat="1" applyFont="1" applyFill="1" applyBorder="1" applyAlignment="1">
      <alignment horizontal="center" vertical="center" wrapText="1"/>
    </xf>
    <xf numFmtId="176" fontId="10" fillId="5" borderId="11" xfId="0" applyNumberFormat="1" applyFont="1" applyFill="1" applyBorder="1" applyAlignment="1">
      <alignment horizontal="left" vertical="center"/>
    </xf>
    <xf numFmtId="176" fontId="12" fillId="7" borderId="10" xfId="0" applyNumberFormat="1" applyFont="1" applyFill="1" applyBorder="1" applyAlignment="1">
      <alignment horizontal="center" vertical="center" wrapText="1"/>
    </xf>
    <xf numFmtId="14" fontId="11" fillId="5" borderId="9" xfId="0" applyNumberFormat="1" applyFont="1" applyFill="1" applyBorder="1" applyAlignment="1">
      <alignment horizontal="left" vertical="center"/>
    </xf>
    <xf numFmtId="1" fontId="11" fillId="5" borderId="10" xfId="0" applyNumberFormat="1" applyFont="1" applyFill="1" applyBorder="1" applyAlignment="1">
      <alignment horizontal="center" vertical="center"/>
    </xf>
    <xf numFmtId="176" fontId="13" fillId="7" borderId="10" xfId="0" applyNumberFormat="1" applyFont="1" applyFill="1" applyBorder="1" applyAlignment="1">
      <alignment horizontal="left" vertical="center"/>
    </xf>
    <xf numFmtId="14" fontId="14" fillId="5" borderId="9" xfId="0" applyNumberFormat="1" applyFont="1" applyFill="1" applyBorder="1" applyAlignment="1">
      <alignment horizontal="right" vertical="center"/>
    </xf>
    <xf numFmtId="176" fontId="14" fillId="0" borderId="12" xfId="0" applyNumberFormat="1" applyFont="1" applyBorder="1">
      <alignment vertical="center"/>
    </xf>
    <xf numFmtId="176" fontId="14" fillId="0" borderId="13" xfId="0" applyNumberFormat="1" applyFont="1" applyBorder="1">
      <alignment vertical="center"/>
    </xf>
    <xf numFmtId="1" fontId="14" fillId="5" borderId="9" xfId="0" applyNumberFormat="1" applyFont="1" applyFill="1" applyBorder="1" applyAlignment="1">
      <alignment horizontal="right" vertical="center"/>
    </xf>
    <xf numFmtId="14" fontId="13" fillId="7" borderId="10" xfId="0" applyNumberFormat="1" applyFont="1" applyFill="1" applyBorder="1" applyAlignment="1">
      <alignment horizontal="center" vertical="center" wrapText="1"/>
    </xf>
    <xf numFmtId="14" fontId="10" fillId="5" borderId="10" xfId="0" applyNumberFormat="1" applyFont="1" applyFill="1" applyBorder="1" applyAlignment="1">
      <alignment horizontal="right" vertical="center"/>
    </xf>
    <xf numFmtId="176" fontId="14" fillId="0" borderId="0" xfId="0" applyNumberFormat="1" applyFont="1" applyAlignment="1"/>
    <xf numFmtId="176" fontId="3" fillId="0" borderId="0" xfId="0" applyNumberFormat="1" applyFont="1" applyAlignment="1"/>
    <xf numFmtId="176" fontId="10" fillId="0" borderId="0" xfId="0" applyNumberFormat="1" applyFont="1" applyAlignment="1"/>
    <xf numFmtId="14" fontId="11" fillId="6" borderId="10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>
      <alignment vertical="center"/>
    </xf>
    <xf numFmtId="176" fontId="11" fillId="6" borderId="12" xfId="0" applyNumberFormat="1" applyFont="1" applyFill="1" applyBorder="1" applyAlignment="1">
      <alignment horizontal="center" vertical="center"/>
    </xf>
    <xf numFmtId="176" fontId="11" fillId="6" borderId="10" xfId="0" applyNumberFormat="1" applyFont="1" applyFill="1" applyBorder="1" applyAlignment="1">
      <alignment horizontal="center" vertical="center" wrapText="1"/>
    </xf>
    <xf numFmtId="14" fontId="11" fillId="6" borderId="10" xfId="0" applyNumberFormat="1" applyFont="1" applyFill="1" applyBorder="1" applyAlignment="1">
      <alignment horizontal="right" vertical="center"/>
    </xf>
    <xf numFmtId="1" fontId="11" fillId="6" borderId="10" xfId="0" applyNumberFormat="1" applyFont="1" applyFill="1" applyBorder="1" applyAlignment="1">
      <alignment horizontal="center" vertical="center"/>
    </xf>
    <xf numFmtId="14" fontId="10" fillId="6" borderId="10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>
      <alignment vertical="center"/>
    </xf>
    <xf numFmtId="176" fontId="12" fillId="7" borderId="10" xfId="0" applyNumberFormat="1" applyFont="1" applyFill="1" applyBorder="1" applyAlignment="1">
      <alignment horizontal="center" vertical="center"/>
    </xf>
    <xf numFmtId="176" fontId="12" fillId="7" borderId="10" xfId="0" applyNumberFormat="1" applyFont="1" applyFill="1" applyBorder="1" applyAlignment="1">
      <alignment vertical="center" wrapText="1"/>
    </xf>
    <xf numFmtId="14" fontId="12" fillId="7" borderId="10" xfId="0" applyNumberFormat="1" applyFont="1" applyFill="1" applyBorder="1" applyAlignment="1">
      <alignment horizontal="right" vertical="center" wrapText="1"/>
    </xf>
    <xf numFmtId="14" fontId="12" fillId="7" borderId="10" xfId="0" applyNumberFormat="1" applyFont="1" applyFill="1" applyBorder="1" applyAlignment="1">
      <alignment horizontal="center" vertical="center" wrapText="1"/>
    </xf>
    <xf numFmtId="176" fontId="12" fillId="7" borderId="13" xfId="0" applyNumberFormat="1" applyFont="1" applyFill="1" applyBorder="1">
      <alignment vertical="center"/>
    </xf>
    <xf numFmtId="176" fontId="17" fillId="5" borderId="10" xfId="0" applyNumberFormat="1" applyFont="1" applyFill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0" xfId="0" applyNumberFormat="1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176" fontId="10" fillId="0" borderId="14" xfId="0" applyNumberFormat="1" applyFont="1" applyBorder="1" applyAlignment="1"/>
    <xf numFmtId="176" fontId="14" fillId="0" borderId="10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left" vertical="center" wrapText="1"/>
    </xf>
    <xf numFmtId="14" fontId="10" fillId="0" borderId="10" xfId="0" applyNumberFormat="1" applyFont="1" applyBorder="1" applyAlignment="1">
      <alignment horizontal="left" vertical="center"/>
    </xf>
    <xf numFmtId="176" fontId="17" fillId="0" borderId="14" xfId="0" applyNumberFormat="1" applyFont="1" applyBorder="1" applyAlignment="1">
      <alignment wrapText="1"/>
    </xf>
    <xf numFmtId="176" fontId="10" fillId="0" borderId="10" xfId="0" applyNumberFormat="1" applyFont="1" applyBorder="1" applyAlignment="1">
      <alignment horizontal="center" vertical="center" wrapText="1"/>
    </xf>
    <xf numFmtId="176" fontId="14" fillId="0" borderId="15" xfId="0" applyNumberFormat="1" applyFont="1" applyBorder="1" applyAlignment="1">
      <alignment horizontal="center" vertical="center" wrapText="1"/>
    </xf>
    <xf numFmtId="176" fontId="14" fillId="0" borderId="16" xfId="0" applyNumberFormat="1" applyFont="1" applyBorder="1" applyAlignment="1">
      <alignment horizontal="center" vertical="center" wrapText="1"/>
    </xf>
    <xf numFmtId="14" fontId="10" fillId="0" borderId="17" xfId="0" applyNumberFormat="1" applyFont="1" applyBorder="1" applyAlignment="1">
      <alignment vertical="center" wrapText="1"/>
    </xf>
    <xf numFmtId="14" fontId="10" fillId="0" borderId="17" xfId="0" applyNumberFormat="1" applyFont="1" applyBorder="1" applyAlignment="1">
      <alignment horizontal="center" vertical="center" wrapText="1"/>
    </xf>
    <xf numFmtId="176" fontId="10" fillId="0" borderId="18" xfId="0" applyNumberFormat="1" applyFont="1" applyBorder="1" applyAlignment="1"/>
    <xf numFmtId="14" fontId="11" fillId="0" borderId="19" xfId="0" applyNumberFormat="1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4" fontId="12" fillId="8" borderId="7" xfId="0" applyNumberFormat="1" applyFont="1" applyFill="1" applyBorder="1" applyAlignment="1">
      <alignment horizontal="center" vertical="center" wrapText="1"/>
    </xf>
    <xf numFmtId="14" fontId="11" fillId="9" borderId="7" xfId="0" applyNumberFormat="1" applyFont="1" applyFill="1" applyBorder="1" applyAlignment="1">
      <alignment horizontal="center" vertical="center" wrapText="1"/>
    </xf>
    <xf numFmtId="176" fontId="11" fillId="10" borderId="7" xfId="0" applyNumberFormat="1" applyFont="1" applyFill="1" applyBorder="1">
      <alignment vertical="center"/>
    </xf>
    <xf numFmtId="176" fontId="11" fillId="10" borderId="7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justify" vertical="center"/>
    </xf>
    <xf numFmtId="14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176" fontId="17" fillId="0" borderId="14" xfId="0" applyNumberFormat="1" applyFont="1" applyBorder="1" applyAlignment="1"/>
    <xf numFmtId="176" fontId="2" fillId="0" borderId="0" xfId="0" applyNumberFormat="1" applyFont="1" applyAlignment="1"/>
    <xf numFmtId="176" fontId="19" fillId="0" borderId="14" xfId="0" applyNumberFormat="1" applyFont="1" applyBorder="1" applyAlignment="1"/>
    <xf numFmtId="176" fontId="19" fillId="0" borderId="14" xfId="0" applyNumberFormat="1" applyFont="1" applyBorder="1" applyAlignment="1">
      <alignment wrapText="1"/>
    </xf>
    <xf numFmtId="176" fontId="17" fillId="0" borderId="21" xfId="0" applyNumberFormat="1" applyFont="1" applyBorder="1" applyAlignment="1"/>
    <xf numFmtId="14" fontId="18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 wrapText="1"/>
    </xf>
    <xf numFmtId="176" fontId="11" fillId="10" borderId="7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14" fontId="10" fillId="5" borderId="13" xfId="0" applyNumberFormat="1" applyFont="1" applyFill="1" applyBorder="1" applyAlignment="1">
      <alignment horizontal="left" vertical="center"/>
    </xf>
    <xf numFmtId="176" fontId="10" fillId="5" borderId="12" xfId="0" applyNumberFormat="1" applyFont="1" applyFill="1" applyBorder="1" applyAlignment="1">
      <alignment horizontal="left" vertical="center"/>
    </xf>
    <xf numFmtId="14" fontId="10" fillId="5" borderId="22" xfId="0" applyNumberFormat="1" applyFont="1" applyFill="1" applyBorder="1" applyAlignment="1">
      <alignment horizontal="left" vertical="center"/>
    </xf>
    <xf numFmtId="176" fontId="11" fillId="5" borderId="10" xfId="0" applyNumberFormat="1" applyFont="1" applyFill="1" applyBorder="1" applyAlignment="1">
      <alignment horizontal="left" vertical="center" wrapText="1"/>
    </xf>
    <xf numFmtId="14" fontId="10" fillId="5" borderId="9" xfId="0" applyNumberFormat="1" applyFont="1" applyFill="1" applyBorder="1" applyAlignment="1">
      <alignment horizontal="center" vertical="center"/>
    </xf>
    <xf numFmtId="14" fontId="10" fillId="5" borderId="9" xfId="0" applyNumberFormat="1" applyFont="1" applyFill="1" applyBorder="1" applyAlignment="1">
      <alignment horizontal="center" vertical="center" wrapText="1"/>
    </xf>
    <xf numFmtId="176" fontId="13" fillId="0" borderId="13" xfId="0" applyNumberFormat="1" applyFont="1" applyBorder="1" applyAlignment="1">
      <alignment horizontal="left" vertical="center"/>
    </xf>
    <xf numFmtId="14" fontId="14" fillId="0" borderId="13" xfId="0" applyNumberFormat="1" applyFont="1" applyBorder="1" applyAlignment="1">
      <alignment horizontal="right" vertical="center"/>
    </xf>
    <xf numFmtId="0" fontId="10" fillId="5" borderId="9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14" fontId="11" fillId="5" borderId="10" xfId="0" applyNumberFormat="1" applyFont="1" applyFill="1" applyBorder="1" applyAlignment="1">
      <alignment horizontal="right" vertical="center"/>
    </xf>
    <xf numFmtId="176" fontId="1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12" fillId="7" borderId="12" xfId="0" applyNumberFormat="1" applyFont="1" applyFill="1" applyBorder="1" applyAlignment="1">
      <alignment horizontal="center" vertical="center"/>
    </xf>
    <xf numFmtId="176" fontId="11" fillId="5" borderId="10" xfId="0" applyNumberFormat="1" applyFont="1" applyFill="1" applyBorder="1" applyAlignment="1">
      <alignment vertical="center" wrapText="1"/>
    </xf>
    <xf numFmtId="176" fontId="11" fillId="5" borderId="13" xfId="0" applyNumberFormat="1" applyFont="1" applyFill="1" applyBorder="1" applyAlignment="1">
      <alignment horizontal="center" vertical="center"/>
    </xf>
    <xf numFmtId="176" fontId="10" fillId="5" borderId="13" xfId="0" applyNumberFormat="1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right"/>
    </xf>
    <xf numFmtId="176" fontId="20" fillId="10" borderId="7" xfId="0" applyNumberFormat="1" applyFont="1" applyFill="1" applyBorder="1" applyAlignment="1">
      <alignment horizontal="center" vertical="center" wrapText="1"/>
    </xf>
    <xf numFmtId="176" fontId="23" fillId="0" borderId="0" xfId="0" applyNumberFormat="1" applyFont="1" applyAlignment="1">
      <alignment vertical="top" wrapText="1"/>
    </xf>
    <xf numFmtId="176" fontId="11" fillId="10" borderId="25" xfId="0" applyNumberFormat="1" applyFont="1" applyFill="1" applyBorder="1" applyAlignment="1">
      <alignment horizontal="center" vertical="center" wrapText="1"/>
    </xf>
    <xf numFmtId="14" fontId="12" fillId="8" borderId="25" xfId="0" applyNumberFormat="1" applyFont="1" applyFill="1" applyBorder="1" applyAlignment="1">
      <alignment horizontal="center" vertical="center" wrapText="1"/>
    </xf>
    <xf numFmtId="14" fontId="11" fillId="11" borderId="25" xfId="0" applyNumberFormat="1" applyFont="1" applyFill="1" applyBorder="1" applyAlignment="1">
      <alignment horizontal="center" vertical="center" wrapText="1"/>
    </xf>
    <xf numFmtId="14" fontId="11" fillId="9" borderId="25" xfId="0" applyNumberFormat="1" applyFont="1" applyFill="1" applyBorder="1" applyAlignment="1">
      <alignment horizontal="center" vertical="center" wrapText="1"/>
    </xf>
    <xf numFmtId="176" fontId="25" fillId="5" borderId="12" xfId="0" applyNumberFormat="1" applyFont="1" applyFill="1" applyBorder="1" applyAlignment="1">
      <alignment horizontal="left" vertical="center"/>
    </xf>
    <xf numFmtId="14" fontId="10" fillId="5" borderId="49" xfId="0" applyNumberFormat="1" applyFont="1" applyFill="1" applyBorder="1" applyAlignment="1">
      <alignment horizontal="center" vertical="center"/>
    </xf>
    <xf numFmtId="14" fontId="26" fillId="5" borderId="9" xfId="0" applyNumberFormat="1" applyFont="1" applyFill="1" applyBorder="1" applyAlignment="1">
      <alignment horizontal="left" vertical="center"/>
    </xf>
    <xf numFmtId="14" fontId="26" fillId="5" borderId="10" xfId="0" applyNumberFormat="1" applyFont="1" applyFill="1" applyBorder="1" applyAlignment="1">
      <alignment horizontal="right" vertical="center"/>
    </xf>
    <xf numFmtId="0" fontId="26" fillId="5" borderId="9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0" fontId="26" fillId="0" borderId="34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40" xfId="0" applyFont="1" applyBorder="1" applyAlignment="1">
      <alignment vertical="center" wrapText="1"/>
    </xf>
    <xf numFmtId="14" fontId="11" fillId="0" borderId="44" xfId="0" applyNumberFormat="1" applyFont="1" applyBorder="1" applyAlignment="1">
      <alignment horizontal="center" vertical="center" wrapText="1"/>
    </xf>
    <xf numFmtId="14" fontId="11" fillId="0" borderId="45" xfId="0" applyNumberFormat="1" applyFont="1" applyBorder="1" applyAlignment="1">
      <alignment horizontal="center" vertical="center" wrapText="1"/>
    </xf>
    <xf numFmtId="176" fontId="14" fillId="0" borderId="56" xfId="0" applyNumberFormat="1" applyFont="1" applyBorder="1" applyAlignment="1"/>
    <xf numFmtId="176" fontId="11" fillId="10" borderId="57" xfId="0" applyNumberFormat="1" applyFont="1" applyFill="1" applyBorder="1">
      <alignment vertical="center"/>
    </xf>
    <xf numFmtId="176" fontId="11" fillId="10" borderId="58" xfId="0" applyNumberFormat="1" applyFont="1" applyFill="1" applyBorder="1" applyAlignment="1">
      <alignment horizontal="center" vertical="center"/>
    </xf>
    <xf numFmtId="176" fontId="11" fillId="10" borderId="59" xfId="0" applyNumberFormat="1" applyFont="1" applyFill="1" applyBorder="1">
      <alignment vertical="center"/>
    </xf>
    <xf numFmtId="176" fontId="11" fillId="10" borderId="60" xfId="0" applyNumberFormat="1" applyFont="1" applyFill="1" applyBorder="1" applyAlignment="1">
      <alignment horizontal="center" vertical="center" wrapText="1"/>
    </xf>
    <xf numFmtId="14" fontId="11" fillId="11" borderId="61" xfId="0" applyNumberFormat="1" applyFont="1" applyFill="1" applyBorder="1" applyAlignment="1">
      <alignment horizontal="center" vertical="center" wrapText="1"/>
    </xf>
    <xf numFmtId="14" fontId="11" fillId="9" borderId="62" xfId="0" applyNumberFormat="1" applyFont="1" applyFill="1" applyBorder="1" applyAlignment="1">
      <alignment horizontal="center" vertical="center" wrapText="1"/>
    </xf>
    <xf numFmtId="14" fontId="27" fillId="0" borderId="45" xfId="0" applyNumberFormat="1" applyFont="1" applyBorder="1" applyAlignment="1">
      <alignment vertical="center" wrapText="1"/>
    </xf>
    <xf numFmtId="14" fontId="27" fillId="0" borderId="63" xfId="0" applyNumberFormat="1" applyFont="1" applyBorder="1" applyAlignment="1">
      <alignment horizontal="center" vertical="center" wrapText="1"/>
    </xf>
    <xf numFmtId="14" fontId="27" fillId="0" borderId="42" xfId="0" applyNumberFormat="1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14" fontId="27" fillId="0" borderId="62" xfId="0" applyNumberFormat="1" applyFont="1" applyBorder="1" applyAlignment="1">
      <alignment horizontal="center" vertical="center"/>
    </xf>
    <xf numFmtId="14" fontId="27" fillId="0" borderId="62" xfId="0" applyNumberFormat="1" applyFont="1" applyBorder="1" applyAlignment="1">
      <alignment horizontal="center" vertical="center" wrapText="1"/>
    </xf>
    <xf numFmtId="176" fontId="27" fillId="0" borderId="62" xfId="0" applyNumberFormat="1" applyFont="1" applyBorder="1" applyAlignment="1">
      <alignment horizontal="left" vertical="center"/>
    </xf>
    <xf numFmtId="0" fontId="27" fillId="0" borderId="44" xfId="0" applyFont="1" applyBorder="1" applyAlignment="1">
      <alignment vertical="center" wrapText="1"/>
    </xf>
    <xf numFmtId="14" fontId="27" fillId="0" borderId="65" xfId="0" applyNumberFormat="1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4" fontId="27" fillId="0" borderId="64" xfId="0" applyNumberFormat="1" applyFont="1" applyBorder="1" applyAlignment="1">
      <alignment horizontal="center" vertical="center" wrapText="1"/>
    </xf>
    <xf numFmtId="14" fontId="27" fillId="0" borderId="44" xfId="0" applyNumberFormat="1" applyFont="1" applyBorder="1" applyAlignment="1">
      <alignment horizontal="center" vertical="center" wrapText="1"/>
    </xf>
    <xf numFmtId="176" fontId="27" fillId="0" borderId="43" xfId="0" applyNumberFormat="1" applyFont="1" applyBorder="1" applyAlignment="1">
      <alignment horizontal="left" vertical="center"/>
    </xf>
    <xf numFmtId="0" fontId="27" fillId="0" borderId="45" xfId="0" applyFont="1" applyBorder="1" applyAlignment="1">
      <alignment vertical="center" wrapText="1"/>
    </xf>
    <xf numFmtId="14" fontId="27" fillId="0" borderId="43" xfId="0" applyNumberFormat="1" applyFont="1" applyBorder="1" applyAlignment="1">
      <alignment horizontal="center" vertical="center" wrapText="1"/>
    </xf>
    <xf numFmtId="176" fontId="27" fillId="0" borderId="0" xfId="0" applyNumberFormat="1" applyFont="1" applyAlignment="1"/>
    <xf numFmtId="0" fontId="27" fillId="0" borderId="47" xfId="0" applyFont="1" applyBorder="1" applyAlignment="1">
      <alignment horizontal="center" vertical="center" wrapText="1"/>
    </xf>
    <xf numFmtId="176" fontId="27" fillId="0" borderId="41" xfId="0" applyNumberFormat="1" applyFont="1" applyBorder="1" applyAlignment="1">
      <alignment horizontal="center" vertical="center"/>
    </xf>
    <xf numFmtId="14" fontId="27" fillId="0" borderId="67" xfId="0" applyNumberFormat="1" applyFont="1" applyBorder="1" applyAlignment="1">
      <alignment horizontal="center" vertical="center" wrapText="1"/>
    </xf>
    <xf numFmtId="14" fontId="27" fillId="0" borderId="41" xfId="0" applyNumberFormat="1" applyFont="1" applyBorder="1" applyAlignment="1">
      <alignment horizontal="center" vertical="center" wrapText="1"/>
    </xf>
    <xf numFmtId="176" fontId="27" fillId="0" borderId="48" xfId="0" applyNumberFormat="1" applyFont="1" applyBorder="1" applyAlignment="1">
      <alignment horizontal="left" vertical="center"/>
    </xf>
    <xf numFmtId="0" fontId="27" fillId="0" borderId="64" xfId="0" applyFont="1" applyBorder="1" applyAlignment="1">
      <alignment vertical="center" wrapText="1"/>
    </xf>
    <xf numFmtId="176" fontId="27" fillId="0" borderId="56" xfId="0" applyNumberFormat="1" applyFont="1" applyBorder="1" applyAlignment="1"/>
    <xf numFmtId="176" fontId="27" fillId="0" borderId="64" xfId="0" applyNumberFormat="1" applyFont="1" applyBorder="1" applyAlignment="1">
      <alignment horizontal="center" vertical="center"/>
    </xf>
    <xf numFmtId="176" fontId="27" fillId="0" borderId="65" xfId="0" applyNumberFormat="1" applyFont="1" applyBorder="1" applyAlignment="1">
      <alignment horizontal="left" vertical="center"/>
    </xf>
    <xf numFmtId="0" fontId="27" fillId="0" borderId="32" xfId="0" applyFont="1" applyBorder="1" applyAlignment="1">
      <alignment vertical="center" wrapText="1"/>
    </xf>
    <xf numFmtId="14" fontId="27" fillId="0" borderId="56" xfId="0" applyNumberFormat="1" applyFont="1" applyBorder="1" applyAlignment="1">
      <alignment horizontal="center" vertical="center" wrapText="1"/>
    </xf>
    <xf numFmtId="14" fontId="27" fillId="0" borderId="32" xfId="0" applyNumberFormat="1" applyFont="1" applyBorder="1" applyAlignment="1">
      <alignment horizontal="center" vertical="center" wrapText="1"/>
    </xf>
    <xf numFmtId="0" fontId="27" fillId="0" borderId="34" xfId="0" applyFont="1" applyBorder="1" applyAlignment="1">
      <alignment vertical="center" wrapText="1"/>
    </xf>
    <xf numFmtId="0" fontId="27" fillId="0" borderId="41" xfId="0" applyFont="1" applyBorder="1" applyAlignment="1">
      <alignment horizontal="center" vertical="center" wrapText="1"/>
    </xf>
    <xf numFmtId="14" fontId="27" fillId="0" borderId="34" xfId="0" applyNumberFormat="1" applyFont="1" applyBorder="1" applyAlignment="1">
      <alignment horizontal="center" vertical="center" wrapText="1"/>
    </xf>
    <xf numFmtId="14" fontId="27" fillId="0" borderId="53" xfId="0" applyNumberFormat="1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14" fontId="27" fillId="0" borderId="47" xfId="0" applyNumberFormat="1" applyFont="1" applyBorder="1" applyAlignment="1">
      <alignment horizontal="center" vertical="center" wrapText="1"/>
    </xf>
    <xf numFmtId="14" fontId="27" fillId="0" borderId="45" xfId="0" applyNumberFormat="1" applyFont="1" applyBorder="1" applyAlignment="1">
      <alignment horizontal="center" vertical="center" wrapText="1"/>
    </xf>
    <xf numFmtId="14" fontId="27" fillId="0" borderId="68" xfId="0" applyNumberFormat="1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14" fontId="27" fillId="0" borderId="33" xfId="0" applyNumberFormat="1" applyFont="1" applyBorder="1" applyAlignment="1">
      <alignment horizontal="center" vertical="center" wrapText="1"/>
    </xf>
    <xf numFmtId="14" fontId="27" fillId="0" borderId="46" xfId="0" applyNumberFormat="1" applyFont="1" applyBorder="1" applyAlignment="1">
      <alignment horizontal="center" vertical="center" wrapText="1"/>
    </xf>
    <xf numFmtId="14" fontId="27" fillId="0" borderId="31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14" fontId="27" fillId="0" borderId="35" xfId="0" applyNumberFormat="1" applyFont="1" applyBorder="1" applyAlignment="1">
      <alignment horizontal="center" vertical="center" wrapText="1"/>
    </xf>
    <xf numFmtId="176" fontId="10" fillId="0" borderId="65" xfId="0" applyNumberFormat="1" applyFont="1" applyBorder="1" applyAlignment="1">
      <alignment horizontal="left" vertical="center"/>
    </xf>
    <xf numFmtId="14" fontId="27" fillId="0" borderId="13" xfId="0" applyNumberFormat="1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76" fontId="10" fillId="0" borderId="43" xfId="0" applyNumberFormat="1" applyFont="1" applyBorder="1" applyAlignment="1">
      <alignment horizontal="left" vertical="center"/>
    </xf>
    <xf numFmtId="14" fontId="27" fillId="0" borderId="30" xfId="0" applyNumberFormat="1" applyFont="1" applyBorder="1" applyAlignment="1">
      <alignment horizontal="center" vertical="center" wrapText="1"/>
    </xf>
    <xf numFmtId="0" fontId="27" fillId="0" borderId="40" xfId="0" applyFont="1" applyBorder="1" applyAlignment="1">
      <alignment vertical="center" wrapText="1"/>
    </xf>
    <xf numFmtId="14" fontId="27" fillId="0" borderId="69" xfId="0" applyNumberFormat="1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176" fontId="10" fillId="0" borderId="54" xfId="0" applyNumberFormat="1" applyFont="1" applyBorder="1" applyAlignment="1">
      <alignment horizontal="left" vertical="center"/>
    </xf>
    <xf numFmtId="176" fontId="10" fillId="0" borderId="41" xfId="0" applyNumberFormat="1" applyFont="1" applyBorder="1" applyAlignment="1">
      <alignment horizontal="left" vertical="center"/>
    </xf>
    <xf numFmtId="176" fontId="10" fillId="0" borderId="47" xfId="0" applyNumberFormat="1" applyFont="1" applyBorder="1" applyAlignment="1">
      <alignment horizontal="left" vertical="center"/>
    </xf>
    <xf numFmtId="176" fontId="10" fillId="0" borderId="53" xfId="0" applyNumberFormat="1" applyFont="1" applyBorder="1" applyAlignment="1">
      <alignment horizontal="left" vertical="center"/>
    </xf>
    <xf numFmtId="176" fontId="10" fillId="0" borderId="52" xfId="0" applyNumberFormat="1" applyFont="1" applyBorder="1" applyAlignment="1">
      <alignment horizontal="left" vertical="center"/>
    </xf>
    <xf numFmtId="0" fontId="26" fillId="0" borderId="70" xfId="0" applyFont="1" applyBorder="1" applyAlignment="1">
      <alignment vertical="center" wrapText="1"/>
    </xf>
    <xf numFmtId="176" fontId="17" fillId="0" borderId="37" xfId="0" applyNumberFormat="1" applyFont="1" applyBorder="1" applyAlignment="1">
      <alignment horizontal="left" vertical="center"/>
    </xf>
    <xf numFmtId="0" fontId="26" fillId="0" borderId="71" xfId="0" applyFont="1" applyBorder="1" applyAlignment="1">
      <alignment vertical="center" wrapText="1"/>
    </xf>
    <xf numFmtId="176" fontId="17" fillId="0" borderId="38" xfId="0" applyNumberFormat="1" applyFont="1" applyBorder="1" applyAlignment="1">
      <alignment horizontal="left" vertical="center" wrapText="1"/>
    </xf>
    <xf numFmtId="176" fontId="10" fillId="0" borderId="38" xfId="0" applyNumberFormat="1" applyFont="1" applyBorder="1" applyAlignment="1">
      <alignment horizontal="left" vertical="center"/>
    </xf>
    <xf numFmtId="176" fontId="19" fillId="0" borderId="38" xfId="0" applyNumberFormat="1" applyFont="1" applyBorder="1" applyAlignment="1">
      <alignment horizontal="left" vertical="center" wrapText="1"/>
    </xf>
    <xf numFmtId="176" fontId="19" fillId="0" borderId="72" xfId="0" applyNumberFormat="1" applyFont="1" applyBorder="1" applyAlignment="1">
      <alignment horizontal="left" vertical="center" wrapText="1"/>
    </xf>
    <xf numFmtId="0" fontId="26" fillId="0" borderId="73" xfId="0" applyFont="1" applyBorder="1" applyAlignment="1">
      <alignment vertical="center" wrapText="1"/>
    </xf>
    <xf numFmtId="176" fontId="19" fillId="0" borderId="39" xfId="0" applyNumberFormat="1" applyFont="1" applyBorder="1" applyAlignment="1">
      <alignment horizontal="left" vertical="center" wrapText="1"/>
    </xf>
    <xf numFmtId="176" fontId="27" fillId="0" borderId="55" xfId="0" applyNumberFormat="1" applyFont="1" applyBorder="1" applyAlignment="1">
      <alignment horizontal="center" vertical="center"/>
    </xf>
    <xf numFmtId="176" fontId="27" fillId="0" borderId="46" xfId="0" applyNumberFormat="1" applyFont="1" applyBorder="1" applyAlignment="1">
      <alignment horizontal="center" vertical="center"/>
    </xf>
    <xf numFmtId="176" fontId="27" fillId="0" borderId="45" xfId="0" applyNumberFormat="1" applyFont="1" applyBorder="1" applyAlignment="1">
      <alignment horizontal="center" vertical="center"/>
    </xf>
    <xf numFmtId="176" fontId="10" fillId="0" borderId="36" xfId="0" applyNumberFormat="1" applyFont="1" applyBorder="1" applyAlignment="1">
      <alignment horizontal="left" vertical="center"/>
    </xf>
    <xf numFmtId="14" fontId="29" fillId="5" borderId="13" xfId="0" applyNumberFormat="1" applyFont="1" applyFill="1" applyBorder="1" applyAlignment="1">
      <alignment horizontal="left" vertical="center"/>
    </xf>
    <xf numFmtId="176" fontId="26" fillId="5" borderId="10" xfId="0" applyNumberFormat="1" applyFont="1" applyFill="1" applyBorder="1" applyAlignment="1">
      <alignment horizontal="center" vertical="center" wrapText="1"/>
    </xf>
    <xf numFmtId="14" fontId="29" fillId="5" borderId="10" xfId="0" applyNumberFormat="1" applyFont="1" applyFill="1" applyBorder="1" applyAlignment="1">
      <alignment horizontal="right" vertical="center"/>
    </xf>
    <xf numFmtId="1" fontId="29" fillId="5" borderId="10" xfId="0" applyNumberFormat="1" applyFont="1" applyFill="1" applyBorder="1" applyAlignment="1">
      <alignment horizontal="center" vertical="center"/>
    </xf>
    <xf numFmtId="14" fontId="26" fillId="5" borderId="13" xfId="0" applyNumberFormat="1" applyFont="1" applyFill="1" applyBorder="1" applyAlignment="1">
      <alignment horizontal="left" vertical="center"/>
    </xf>
    <xf numFmtId="14" fontId="26" fillId="5" borderId="49" xfId="0" applyNumberFormat="1" applyFont="1" applyFill="1" applyBorder="1" applyAlignment="1">
      <alignment horizontal="center" vertical="center"/>
    </xf>
    <xf numFmtId="14" fontId="26" fillId="5" borderId="50" xfId="0" applyNumberFormat="1" applyFont="1" applyFill="1" applyBorder="1" applyAlignment="1">
      <alignment horizontal="left" vertical="center"/>
    </xf>
    <xf numFmtId="14" fontId="10" fillId="5" borderId="11" xfId="0" applyNumberFormat="1" applyFont="1" applyFill="1" applyBorder="1" applyAlignment="1">
      <alignment horizontal="left" vertical="center"/>
    </xf>
    <xf numFmtId="14" fontId="10" fillId="5" borderId="24" xfId="0" applyNumberFormat="1" applyFont="1" applyFill="1" applyBorder="1" applyAlignment="1">
      <alignment horizontal="left" vertical="center"/>
    </xf>
    <xf numFmtId="14" fontId="10" fillId="5" borderId="22" xfId="0" applyNumberFormat="1" applyFont="1" applyFill="1" applyBorder="1" applyAlignment="1">
      <alignment horizontal="left" vertical="center"/>
    </xf>
    <xf numFmtId="14" fontId="10" fillId="5" borderId="11" xfId="0" applyNumberFormat="1" applyFont="1" applyFill="1" applyBorder="1" applyAlignment="1">
      <alignment horizontal="left" vertical="center" wrapText="1"/>
    </xf>
    <xf numFmtId="14" fontId="10" fillId="5" borderId="24" xfId="0" applyNumberFormat="1" applyFont="1" applyFill="1" applyBorder="1" applyAlignment="1">
      <alignment horizontal="left" vertical="center" wrapText="1"/>
    </xf>
    <xf numFmtId="176" fontId="12" fillId="7" borderId="13" xfId="0" applyNumberFormat="1" applyFont="1" applyFill="1" applyBorder="1" applyAlignment="1">
      <alignment horizontal="left" vertical="center"/>
    </xf>
    <xf numFmtId="176" fontId="12" fillId="7" borderId="9" xfId="0" applyNumberFormat="1" applyFont="1" applyFill="1" applyBorder="1" applyAlignment="1">
      <alignment horizontal="left" vertical="center"/>
    </xf>
    <xf numFmtId="14" fontId="10" fillId="5" borderId="30" xfId="0" applyNumberFormat="1" applyFont="1" applyFill="1" applyBorder="1" applyAlignment="1">
      <alignment horizontal="left" vertical="center"/>
    </xf>
    <xf numFmtId="14" fontId="10" fillId="5" borderId="0" xfId="0" applyNumberFormat="1" applyFont="1" applyFill="1" applyAlignment="1">
      <alignment horizontal="left" vertical="center"/>
    </xf>
    <xf numFmtId="14" fontId="10" fillId="5" borderId="31" xfId="0" applyNumberFormat="1" applyFont="1" applyFill="1" applyBorder="1" applyAlignment="1">
      <alignment horizontal="left" vertical="center"/>
    </xf>
    <xf numFmtId="14" fontId="11" fillId="0" borderId="23" xfId="0" applyNumberFormat="1" applyFont="1" applyBorder="1" applyAlignment="1">
      <alignment horizontal="center" vertical="center" wrapText="1"/>
    </xf>
    <xf numFmtId="14" fontId="11" fillId="0" borderId="19" xfId="0" applyNumberFormat="1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 wrapText="1"/>
    </xf>
    <xf numFmtId="176" fontId="14" fillId="0" borderId="15" xfId="0" applyNumberFormat="1" applyFont="1" applyBorder="1" applyAlignment="1">
      <alignment horizontal="center" vertical="center"/>
    </xf>
    <xf numFmtId="14" fontId="11" fillId="11" borderId="7" xfId="0" applyNumberFormat="1" applyFont="1" applyFill="1" applyBorder="1" applyAlignment="1">
      <alignment horizontal="center" vertical="center" wrapText="1"/>
    </xf>
    <xf numFmtId="14" fontId="21" fillId="0" borderId="15" xfId="0" applyNumberFormat="1" applyFont="1" applyBorder="1" applyAlignment="1">
      <alignment horizontal="center" vertical="center" wrapText="1"/>
    </xf>
    <xf numFmtId="14" fontId="22" fillId="0" borderId="15" xfId="0" applyNumberFormat="1" applyFont="1" applyBorder="1" applyAlignment="1">
      <alignment horizontal="center" vertical="center" wrapText="1"/>
    </xf>
    <xf numFmtId="176" fontId="11" fillId="10" borderId="7" xfId="0" applyNumberFormat="1" applyFont="1" applyFill="1" applyBorder="1" applyAlignment="1">
      <alignment horizontal="center" vertical="center"/>
    </xf>
    <xf numFmtId="176" fontId="10" fillId="0" borderId="44" xfId="0" applyNumberFormat="1" applyFont="1" applyBorder="1" applyAlignment="1">
      <alignment horizontal="center" vertical="center" wrapText="1"/>
    </xf>
    <xf numFmtId="176" fontId="10" fillId="0" borderId="41" xfId="0" applyNumberFormat="1" applyFont="1" applyBorder="1" applyAlignment="1">
      <alignment horizontal="center" vertical="center" wrapText="1"/>
    </xf>
    <xf numFmtId="176" fontId="10" fillId="0" borderId="45" xfId="0" applyNumberFormat="1" applyFont="1" applyBorder="1" applyAlignment="1">
      <alignment horizontal="center" vertical="center" wrapText="1"/>
    </xf>
    <xf numFmtId="14" fontId="11" fillId="0" borderId="41" xfId="0" applyNumberFormat="1" applyFont="1" applyBorder="1" applyAlignment="1">
      <alignment horizontal="center" vertical="center" wrapText="1"/>
    </xf>
    <xf numFmtId="14" fontId="11" fillId="0" borderId="45" xfId="0" applyNumberFormat="1" applyFont="1" applyBorder="1" applyAlignment="1">
      <alignment horizontal="center" vertical="center" wrapText="1"/>
    </xf>
    <xf numFmtId="14" fontId="28" fillId="0" borderId="44" xfId="0" applyNumberFormat="1" applyFont="1" applyBorder="1" applyAlignment="1">
      <alignment horizontal="center" vertical="center" wrapText="1"/>
    </xf>
    <xf numFmtId="14" fontId="28" fillId="0" borderId="45" xfId="0" applyNumberFormat="1" applyFont="1" applyBorder="1" applyAlignment="1">
      <alignment horizontal="center" vertical="center" wrapText="1"/>
    </xf>
    <xf numFmtId="176" fontId="11" fillId="10" borderId="25" xfId="0" applyNumberFormat="1" applyFont="1" applyFill="1" applyBorder="1" applyAlignment="1">
      <alignment horizontal="center" vertical="center"/>
    </xf>
    <xf numFmtId="14" fontId="11" fillId="0" borderId="64" xfId="0" applyNumberFormat="1" applyFont="1" applyBorder="1" applyAlignment="1">
      <alignment horizontal="center" vertical="center" wrapText="1"/>
    </xf>
    <xf numFmtId="14" fontId="11" fillId="0" borderId="66" xfId="0" applyNumberFormat="1" applyFont="1" applyBorder="1" applyAlignment="1">
      <alignment horizontal="center" vertical="center" wrapText="1"/>
    </xf>
    <xf numFmtId="14" fontId="11" fillId="0" borderId="44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176" fontId="6" fillId="0" borderId="25" xfId="0" applyNumberFormat="1" applyFont="1" applyBorder="1" applyAlignment="1">
      <alignment horizontal="justify" vertical="center" wrapText="1"/>
    </xf>
    <xf numFmtId="176" fontId="6" fillId="0" borderId="6" xfId="0" applyNumberFormat="1" applyFont="1" applyBorder="1" applyAlignment="1">
      <alignment horizontal="justify" vertical="center" wrapText="1"/>
    </xf>
    <xf numFmtId="176" fontId="6" fillId="0" borderId="4" xfId="0" applyNumberFormat="1" applyFont="1" applyBorder="1" applyAlignment="1">
      <alignment horizontal="justify" vertical="center" wrapText="1"/>
    </xf>
    <xf numFmtId="176" fontId="6" fillId="0" borderId="25" xfId="0" applyNumberFormat="1" applyFont="1" applyBorder="1" applyAlignment="1">
      <alignment horizontal="justify" vertical="center"/>
    </xf>
    <xf numFmtId="176" fontId="6" fillId="0" borderId="6" xfId="0" applyNumberFormat="1" applyFont="1" applyBorder="1" applyAlignment="1">
      <alignment horizontal="justify" vertical="center"/>
    </xf>
    <xf numFmtId="176" fontId="6" fillId="0" borderId="4" xfId="0" applyNumberFormat="1" applyFont="1" applyBorder="1" applyAlignment="1">
      <alignment horizontal="justify" vertical="center"/>
    </xf>
    <xf numFmtId="176" fontId="6" fillId="0" borderId="25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2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9" fillId="0" borderId="25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9" fillId="0" borderId="26" xfId="0" applyNumberFormat="1" applyFont="1" applyBorder="1" applyAlignment="1">
      <alignment horizontal="center" vertical="center"/>
    </xf>
    <xf numFmtId="176" fontId="9" fillId="0" borderId="2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176" fontId="9" fillId="0" borderId="2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4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2.75" customHeight="1" x14ac:dyDescent="0.2"/>
  <cols>
    <col min="1" max="1" width="15.75" style="57" customWidth="1"/>
    <col min="2" max="2" width="44.125" style="57" customWidth="1"/>
    <col min="3" max="3" width="13.5" style="57" customWidth="1"/>
    <col min="4" max="4" width="10.875" style="57" hidden="1" customWidth="1"/>
    <col min="5" max="5" width="9.25" style="57" customWidth="1"/>
    <col min="6" max="6" width="12.875" style="57" customWidth="1"/>
    <col min="7" max="9" width="10.75" style="57" customWidth="1"/>
    <col min="10" max="10" width="67" style="57" customWidth="1"/>
    <col min="11" max="40" width="9" style="57"/>
  </cols>
  <sheetData>
    <row r="1" spans="1:10" s="59" customFormat="1" ht="24" customHeight="1" x14ac:dyDescent="0.2">
      <c r="A1" s="247" t="s">
        <v>0</v>
      </c>
      <c r="B1" s="247"/>
      <c r="C1" s="247"/>
      <c r="D1" s="247"/>
      <c r="E1" s="247"/>
      <c r="F1" s="247"/>
      <c r="G1" s="93" t="s">
        <v>1</v>
      </c>
      <c r="H1" s="244" t="s">
        <v>2</v>
      </c>
      <c r="I1" s="244"/>
      <c r="J1" s="94" t="s">
        <v>3</v>
      </c>
    </row>
    <row r="2" spans="1:10" s="59" customFormat="1" ht="23.25" customHeight="1" x14ac:dyDescent="0.2">
      <c r="A2" s="95"/>
      <c r="B2" s="109" t="s">
        <v>4</v>
      </c>
      <c r="C2" s="95" t="s">
        <v>5</v>
      </c>
      <c r="D2" s="96" t="s">
        <v>6</v>
      </c>
      <c r="E2" s="96" t="s">
        <v>7</v>
      </c>
      <c r="F2" s="129" t="s">
        <v>8</v>
      </c>
      <c r="G2" s="93" t="s">
        <v>9</v>
      </c>
      <c r="H2" s="107" t="s">
        <v>10</v>
      </c>
      <c r="I2" s="107" t="s">
        <v>11</v>
      </c>
      <c r="J2" s="94"/>
    </row>
    <row r="3" spans="1:10" ht="20.85" customHeight="1" x14ac:dyDescent="0.2">
      <c r="A3" s="90" t="s">
        <v>12</v>
      </c>
      <c r="B3" s="91" t="s">
        <v>13</v>
      </c>
      <c r="C3" s="92">
        <v>46193</v>
      </c>
      <c r="D3" s="92" t="s">
        <v>14</v>
      </c>
      <c r="E3" s="92" t="s">
        <v>15</v>
      </c>
      <c r="F3" s="92" t="s">
        <v>16</v>
      </c>
      <c r="G3" s="92">
        <v>46149</v>
      </c>
      <c r="H3" s="92">
        <v>46176</v>
      </c>
      <c r="I3" s="92">
        <v>46181</v>
      </c>
      <c r="J3" s="104" t="s">
        <v>17</v>
      </c>
    </row>
    <row r="4" spans="1:10" ht="20.85" customHeight="1" x14ac:dyDescent="0.2">
      <c r="A4" s="108" t="s">
        <v>12</v>
      </c>
      <c r="B4" s="76" t="s">
        <v>18</v>
      </c>
      <c r="C4" s="80">
        <v>46193</v>
      </c>
      <c r="D4" s="80" t="s">
        <v>14</v>
      </c>
      <c r="E4" s="80" t="s">
        <v>15</v>
      </c>
      <c r="F4" s="80" t="s">
        <v>16</v>
      </c>
      <c r="G4" s="80">
        <v>46149</v>
      </c>
      <c r="H4" s="80">
        <v>46176</v>
      </c>
      <c r="I4" s="80">
        <v>46181</v>
      </c>
      <c r="J4" s="104" t="s">
        <v>17</v>
      </c>
    </row>
    <row r="5" spans="1:10" ht="20.85" customHeight="1" x14ac:dyDescent="0.2">
      <c r="A5" s="240" t="s">
        <v>19</v>
      </c>
      <c r="B5" s="76" t="s">
        <v>20</v>
      </c>
      <c r="C5" s="80">
        <v>46213</v>
      </c>
      <c r="D5" s="80" t="s">
        <v>21</v>
      </c>
      <c r="E5" s="77" t="s">
        <v>22</v>
      </c>
      <c r="F5" s="80" t="s">
        <v>16</v>
      </c>
      <c r="G5" s="80">
        <v>46188</v>
      </c>
      <c r="H5" s="80">
        <f>G5+7</f>
        <v>46195</v>
      </c>
      <c r="I5" s="80">
        <f>H5+12</f>
        <v>46207</v>
      </c>
      <c r="J5" s="100" t="s">
        <v>23</v>
      </c>
    </row>
    <row r="6" spans="1:10" ht="20.85" customHeight="1" x14ac:dyDescent="0.2">
      <c r="A6" s="241"/>
      <c r="B6" s="98" t="s">
        <v>24</v>
      </c>
      <c r="C6" s="99">
        <v>46216</v>
      </c>
      <c r="D6" s="99"/>
      <c r="E6" s="110" t="s">
        <v>22</v>
      </c>
      <c r="F6" s="99" t="s">
        <v>16</v>
      </c>
      <c r="G6" s="99">
        <v>46211</v>
      </c>
      <c r="H6" s="99">
        <v>46213</v>
      </c>
      <c r="I6" s="99">
        <v>46216</v>
      </c>
      <c r="J6" s="102" t="s">
        <v>25</v>
      </c>
    </row>
    <row r="7" spans="1:10" ht="20.85" customHeight="1" x14ac:dyDescent="0.2">
      <c r="A7" s="242" t="s">
        <v>26</v>
      </c>
      <c r="B7" s="76" t="s">
        <v>27</v>
      </c>
      <c r="C7" s="80">
        <v>46228</v>
      </c>
      <c r="D7" s="80" t="s">
        <v>28</v>
      </c>
      <c r="E7" s="80" t="s">
        <v>22</v>
      </c>
      <c r="F7" s="80" t="s">
        <v>16</v>
      </c>
      <c r="G7" s="80">
        <v>46182</v>
      </c>
      <c r="H7" s="80">
        <f>G7+7</f>
        <v>46189</v>
      </c>
      <c r="I7" s="80">
        <f>H7+14</f>
        <v>46203</v>
      </c>
      <c r="J7" s="100" t="s">
        <v>29</v>
      </c>
    </row>
    <row r="8" spans="1:10" ht="20.85" customHeight="1" x14ac:dyDescent="0.2">
      <c r="A8" s="242"/>
      <c r="B8" s="76" t="s">
        <v>30</v>
      </c>
      <c r="C8" s="80">
        <v>46456</v>
      </c>
      <c r="D8" s="80" t="s">
        <v>28</v>
      </c>
      <c r="E8" s="77" t="s">
        <v>31</v>
      </c>
      <c r="F8" s="80" t="s">
        <v>16</v>
      </c>
      <c r="G8" s="80">
        <v>46436</v>
      </c>
      <c r="H8" s="80">
        <f>G8+7</f>
        <v>46443</v>
      </c>
      <c r="I8" s="80">
        <f>H8+7</f>
        <v>46450</v>
      </c>
      <c r="J8" s="78"/>
    </row>
    <row r="9" spans="1:10" ht="20.85" customHeight="1" x14ac:dyDescent="0.2">
      <c r="A9" s="242" t="s">
        <v>32</v>
      </c>
      <c r="B9" s="76" t="s">
        <v>33</v>
      </c>
      <c r="C9" s="80">
        <v>46223</v>
      </c>
      <c r="D9" s="80" t="s">
        <v>14</v>
      </c>
      <c r="E9" s="79" t="s">
        <v>34</v>
      </c>
      <c r="F9" s="80" t="s">
        <v>35</v>
      </c>
      <c r="G9" s="79" t="s">
        <v>34</v>
      </c>
      <c r="H9" s="79" t="s">
        <v>34</v>
      </c>
      <c r="I9" s="79" t="s">
        <v>34</v>
      </c>
      <c r="J9" s="78"/>
    </row>
    <row r="10" spans="1:10" ht="20.85" customHeight="1" x14ac:dyDescent="0.2">
      <c r="A10" s="242"/>
      <c r="B10" s="76" t="s">
        <v>36</v>
      </c>
      <c r="C10" s="80">
        <v>46223</v>
      </c>
      <c r="D10" s="80" t="s">
        <v>14</v>
      </c>
      <c r="E10" s="79" t="s">
        <v>34</v>
      </c>
      <c r="F10" s="80" t="s">
        <v>35</v>
      </c>
      <c r="G10" s="79" t="s">
        <v>34</v>
      </c>
      <c r="H10" s="79" t="s">
        <v>34</v>
      </c>
      <c r="I10" s="79" t="s">
        <v>34</v>
      </c>
      <c r="J10" s="78"/>
    </row>
    <row r="11" spans="1:10" ht="20.85" customHeight="1" x14ac:dyDescent="0.2">
      <c r="A11" s="242"/>
      <c r="B11" s="76" t="s">
        <v>37</v>
      </c>
      <c r="C11" s="80">
        <v>46223</v>
      </c>
      <c r="D11" s="80" t="s">
        <v>28</v>
      </c>
      <c r="E11" s="77" t="s">
        <v>22</v>
      </c>
      <c r="F11" s="80" t="s">
        <v>16</v>
      </c>
      <c r="G11" s="80">
        <v>46208</v>
      </c>
      <c r="H11" s="80">
        <f t="shared" ref="H11:I13" si="0">G11+7</f>
        <v>46215</v>
      </c>
      <c r="I11" s="80">
        <f t="shared" si="0"/>
        <v>46222</v>
      </c>
      <c r="J11" s="102" t="s">
        <v>38</v>
      </c>
    </row>
    <row r="12" spans="1:10" ht="20.85" customHeight="1" x14ac:dyDescent="0.2">
      <c r="A12" s="242"/>
      <c r="B12" s="81" t="s">
        <v>39</v>
      </c>
      <c r="C12" s="80">
        <v>46223</v>
      </c>
      <c r="D12" s="80" t="s">
        <v>28</v>
      </c>
      <c r="E12" s="77" t="s">
        <v>22</v>
      </c>
      <c r="F12" s="80" t="s">
        <v>16</v>
      </c>
      <c r="G12" s="80">
        <v>46208</v>
      </c>
      <c r="H12" s="80">
        <f t="shared" si="0"/>
        <v>46215</v>
      </c>
      <c r="I12" s="80">
        <f t="shared" si="0"/>
        <v>46222</v>
      </c>
      <c r="J12" s="102" t="s">
        <v>25</v>
      </c>
    </row>
    <row r="13" spans="1:10" ht="20.85" customHeight="1" x14ac:dyDescent="0.2">
      <c r="A13" s="242"/>
      <c r="B13" s="76" t="s">
        <v>40</v>
      </c>
      <c r="C13" s="80">
        <v>46223</v>
      </c>
      <c r="D13" s="80" t="s">
        <v>28</v>
      </c>
      <c r="E13" s="77" t="s">
        <v>22</v>
      </c>
      <c r="F13" s="80" t="s">
        <v>16</v>
      </c>
      <c r="G13" s="80">
        <v>46208</v>
      </c>
      <c r="H13" s="80">
        <f t="shared" si="0"/>
        <v>46215</v>
      </c>
      <c r="I13" s="80">
        <f t="shared" si="0"/>
        <v>46222</v>
      </c>
      <c r="J13" s="102" t="s">
        <v>25</v>
      </c>
    </row>
    <row r="14" spans="1:10" ht="20.100000000000001" customHeight="1" x14ac:dyDescent="0.2">
      <c r="A14" s="245" t="s">
        <v>41</v>
      </c>
      <c r="B14" s="76" t="s">
        <v>42</v>
      </c>
      <c r="C14" s="80">
        <v>46228</v>
      </c>
      <c r="D14" s="80" t="s">
        <v>43</v>
      </c>
      <c r="E14" s="79" t="s">
        <v>34</v>
      </c>
      <c r="F14" s="80" t="s">
        <v>35</v>
      </c>
      <c r="G14" s="79" t="s">
        <v>34</v>
      </c>
      <c r="H14" s="79" t="s">
        <v>34</v>
      </c>
      <c r="I14" s="79" t="s">
        <v>34</v>
      </c>
      <c r="J14" s="78"/>
    </row>
    <row r="15" spans="1:10" ht="20.100000000000001" customHeight="1" x14ac:dyDescent="0.2">
      <c r="A15" s="242"/>
      <c r="B15" s="76" t="s">
        <v>44</v>
      </c>
      <c r="C15" s="80">
        <v>46228</v>
      </c>
      <c r="D15" s="80" t="s">
        <v>43</v>
      </c>
      <c r="E15" s="79" t="s">
        <v>34</v>
      </c>
      <c r="F15" s="80" t="s">
        <v>35</v>
      </c>
      <c r="G15" s="79" t="s">
        <v>34</v>
      </c>
      <c r="H15" s="79" t="s">
        <v>34</v>
      </c>
      <c r="I15" s="79" t="s">
        <v>34</v>
      </c>
      <c r="J15" s="78"/>
    </row>
    <row r="16" spans="1:10" ht="20.85" customHeight="1" x14ac:dyDescent="0.2">
      <c r="A16" s="242"/>
      <c r="B16" s="76" t="s">
        <v>45</v>
      </c>
      <c r="C16" s="80">
        <v>46228</v>
      </c>
      <c r="D16" s="80" t="s">
        <v>43</v>
      </c>
      <c r="E16" s="77" t="s">
        <v>22</v>
      </c>
      <c r="F16" s="80" t="s">
        <v>16</v>
      </c>
      <c r="G16" s="80">
        <v>46199</v>
      </c>
      <c r="H16" s="80">
        <f>G16+7</f>
        <v>46206</v>
      </c>
      <c r="I16" s="80">
        <f>H16+10</f>
        <v>46216</v>
      </c>
      <c r="J16" s="100" t="s">
        <v>46</v>
      </c>
    </row>
    <row r="17" spans="1:10" ht="20.85" customHeight="1" x14ac:dyDescent="0.2">
      <c r="A17" s="242"/>
      <c r="B17" s="76" t="s">
        <v>47</v>
      </c>
      <c r="C17" s="80">
        <v>46228</v>
      </c>
      <c r="D17" s="80" t="s">
        <v>43</v>
      </c>
      <c r="E17" s="77" t="s">
        <v>22</v>
      </c>
      <c r="F17" s="80" t="s">
        <v>16</v>
      </c>
      <c r="G17" s="80">
        <v>46203</v>
      </c>
      <c r="H17" s="80">
        <f>G17+7</f>
        <v>46210</v>
      </c>
      <c r="I17" s="80">
        <f>H17+10</f>
        <v>46220</v>
      </c>
      <c r="J17" s="100" t="s">
        <v>48</v>
      </c>
    </row>
    <row r="18" spans="1:10" ht="20.45" customHeight="1" x14ac:dyDescent="0.2">
      <c r="A18" s="242"/>
      <c r="B18" s="76" t="s">
        <v>49</v>
      </c>
      <c r="C18" s="80">
        <v>46228</v>
      </c>
      <c r="D18" s="80" t="s">
        <v>43</v>
      </c>
      <c r="E18" s="77" t="s">
        <v>22</v>
      </c>
      <c r="F18" s="80" t="s">
        <v>16</v>
      </c>
      <c r="G18" s="80">
        <v>46206</v>
      </c>
      <c r="H18" s="80">
        <f>G18+7</f>
        <v>46213</v>
      </c>
      <c r="I18" s="80">
        <f>H18+10</f>
        <v>46223</v>
      </c>
      <c r="J18" s="100" t="s">
        <v>50</v>
      </c>
    </row>
    <row r="19" spans="1:10" ht="15.6" customHeight="1" x14ac:dyDescent="0.2">
      <c r="A19" s="242"/>
      <c r="B19" s="76" t="s">
        <v>51</v>
      </c>
      <c r="C19" s="80">
        <v>46223</v>
      </c>
      <c r="D19" s="80" t="s">
        <v>43</v>
      </c>
      <c r="E19" s="80" t="s">
        <v>52</v>
      </c>
      <c r="F19" s="80" t="s">
        <v>35</v>
      </c>
      <c r="G19" s="80" t="s">
        <v>52</v>
      </c>
      <c r="H19" s="80" t="s">
        <v>52</v>
      </c>
      <c r="I19" s="80" t="s">
        <v>52</v>
      </c>
      <c r="J19" s="78"/>
    </row>
    <row r="20" spans="1:10" ht="20.45" customHeight="1" x14ac:dyDescent="0.2">
      <c r="A20" s="242"/>
      <c r="B20" s="76" t="s">
        <v>53</v>
      </c>
      <c r="C20" s="80">
        <v>46223</v>
      </c>
      <c r="D20" s="80" t="s">
        <v>43</v>
      </c>
      <c r="E20" s="80" t="s">
        <v>52</v>
      </c>
      <c r="F20" s="80" t="s">
        <v>35</v>
      </c>
      <c r="G20" s="80" t="s">
        <v>52</v>
      </c>
      <c r="H20" s="80" t="s">
        <v>52</v>
      </c>
      <c r="I20" s="80" t="s">
        <v>52</v>
      </c>
      <c r="J20" s="78"/>
    </row>
    <row r="21" spans="1:10" ht="20.45" customHeight="1" x14ac:dyDescent="0.2">
      <c r="A21" s="246" t="s">
        <v>54</v>
      </c>
      <c r="B21" s="76" t="s">
        <v>55</v>
      </c>
      <c r="C21" s="80">
        <v>46228</v>
      </c>
      <c r="D21" s="80" t="s">
        <v>56</v>
      </c>
      <c r="E21" s="80" t="s">
        <v>22</v>
      </c>
      <c r="F21" s="80" t="s">
        <v>16</v>
      </c>
      <c r="G21" s="80">
        <v>46182</v>
      </c>
      <c r="H21" s="80">
        <f>G21+7</f>
        <v>46189</v>
      </c>
      <c r="I21" s="80">
        <f>H21+14</f>
        <v>46203</v>
      </c>
      <c r="J21" s="100" t="s">
        <v>29</v>
      </c>
    </row>
    <row r="22" spans="1:10" ht="20.45" customHeight="1" x14ac:dyDescent="0.2">
      <c r="A22" s="242"/>
      <c r="B22" s="82" t="s">
        <v>57</v>
      </c>
      <c r="C22" s="80">
        <v>46289</v>
      </c>
      <c r="D22" s="80" t="s">
        <v>56</v>
      </c>
      <c r="E22" s="77" t="s">
        <v>31</v>
      </c>
      <c r="F22" s="80" t="s">
        <v>16</v>
      </c>
      <c r="G22" s="80">
        <v>46285</v>
      </c>
      <c r="H22" s="80">
        <f>G22+2</f>
        <v>46287</v>
      </c>
      <c r="I22" s="80">
        <f>H22+2</f>
        <v>46289</v>
      </c>
      <c r="J22" s="83"/>
    </row>
    <row r="23" spans="1:10" ht="20.45" customHeight="1" x14ac:dyDescent="0.2">
      <c r="A23" s="242"/>
      <c r="B23" s="82" t="s">
        <v>58</v>
      </c>
      <c r="C23" s="80">
        <v>46410</v>
      </c>
      <c r="D23" s="80" t="s">
        <v>56</v>
      </c>
      <c r="E23" s="77" t="s">
        <v>31</v>
      </c>
      <c r="F23" s="80" t="s">
        <v>16</v>
      </c>
      <c r="G23" s="80">
        <v>46391</v>
      </c>
      <c r="H23" s="80">
        <f>G23+7</f>
        <v>46398</v>
      </c>
      <c r="I23" s="80">
        <f>H23+7</f>
        <v>46405</v>
      </c>
      <c r="J23" s="78"/>
    </row>
    <row r="24" spans="1:10" ht="20.45" customHeight="1" x14ac:dyDescent="0.2">
      <c r="A24" s="242"/>
      <c r="B24" s="76" t="s">
        <v>59</v>
      </c>
      <c r="C24" s="80">
        <v>46228</v>
      </c>
      <c r="D24" s="80" t="s">
        <v>56</v>
      </c>
      <c r="E24" s="77" t="s">
        <v>31</v>
      </c>
      <c r="F24" s="80" t="s">
        <v>16</v>
      </c>
      <c r="G24" s="80">
        <v>46204</v>
      </c>
      <c r="H24" s="80">
        <f>G24+5</f>
        <v>46209</v>
      </c>
      <c r="I24" s="80">
        <f>H24+14</f>
        <v>46223</v>
      </c>
      <c r="J24" s="103" t="s">
        <v>60</v>
      </c>
    </row>
    <row r="25" spans="1:10" ht="20.45" customHeight="1" x14ac:dyDescent="0.2">
      <c r="A25" s="242"/>
      <c r="B25" s="76" t="s">
        <v>61</v>
      </c>
      <c r="C25" s="80">
        <v>46228</v>
      </c>
      <c r="D25" s="80" t="s">
        <v>21</v>
      </c>
      <c r="E25" s="77" t="s">
        <v>31</v>
      </c>
      <c r="F25" s="80" t="s">
        <v>16</v>
      </c>
      <c r="G25" s="80">
        <v>46204</v>
      </c>
      <c r="H25" s="80">
        <f>G25+5</f>
        <v>46209</v>
      </c>
      <c r="I25" s="80">
        <f>H25+14</f>
        <v>46223</v>
      </c>
      <c r="J25" s="103" t="s">
        <v>60</v>
      </c>
    </row>
    <row r="26" spans="1:10" ht="22.5" customHeight="1" x14ac:dyDescent="0.2">
      <c r="A26" s="242"/>
      <c r="B26" s="76" t="s">
        <v>62</v>
      </c>
      <c r="C26" s="99">
        <v>46410</v>
      </c>
      <c r="D26" s="80" t="s">
        <v>21</v>
      </c>
      <c r="E26" s="77" t="s">
        <v>31</v>
      </c>
      <c r="F26" s="80" t="s">
        <v>16</v>
      </c>
      <c r="G26" s="80">
        <v>46381</v>
      </c>
      <c r="H26" s="80">
        <f>G26+15</f>
        <v>46396</v>
      </c>
      <c r="I26" s="80">
        <f>H26+7</f>
        <v>46403</v>
      </c>
      <c r="J26" s="100"/>
    </row>
    <row r="27" spans="1:10" ht="20.45" customHeight="1" x14ac:dyDescent="0.2">
      <c r="A27" s="242"/>
      <c r="B27" s="82" t="s">
        <v>63</v>
      </c>
      <c r="C27" s="80">
        <v>46410</v>
      </c>
      <c r="D27" s="80" t="s">
        <v>21</v>
      </c>
      <c r="E27" s="77" t="s">
        <v>31</v>
      </c>
      <c r="F27" s="80" t="s">
        <v>16</v>
      </c>
      <c r="G27" s="80">
        <v>46402</v>
      </c>
      <c r="H27" s="80">
        <f>G27+3</f>
        <v>46405</v>
      </c>
      <c r="I27" s="80">
        <f>H27+3</f>
        <v>46408</v>
      </c>
      <c r="J27" s="100"/>
    </row>
    <row r="28" spans="1:10" ht="20.45" customHeight="1" x14ac:dyDescent="0.2">
      <c r="A28" s="242"/>
      <c r="B28" s="76" t="s">
        <v>64</v>
      </c>
      <c r="C28" s="99">
        <v>46234</v>
      </c>
      <c r="D28" s="84" t="s">
        <v>14</v>
      </c>
      <c r="E28" s="77" t="s">
        <v>22</v>
      </c>
      <c r="F28" s="80" t="s">
        <v>16</v>
      </c>
      <c r="G28" s="80">
        <v>46209</v>
      </c>
      <c r="H28" s="80">
        <f>G28+7</f>
        <v>46216</v>
      </c>
      <c r="I28" s="80">
        <f>H28+10</f>
        <v>46226</v>
      </c>
      <c r="J28" s="103" t="s">
        <v>65</v>
      </c>
    </row>
    <row r="29" spans="1:10" ht="24.95" customHeight="1" x14ac:dyDescent="0.2">
      <c r="A29" s="242"/>
      <c r="B29" s="76" t="s">
        <v>66</v>
      </c>
      <c r="C29" s="99">
        <v>46234</v>
      </c>
      <c r="D29" s="80" t="s">
        <v>21</v>
      </c>
      <c r="E29" s="77" t="s">
        <v>22</v>
      </c>
      <c r="F29" s="80" t="s">
        <v>16</v>
      </c>
      <c r="G29" s="80">
        <v>46209</v>
      </c>
      <c r="H29" s="80">
        <f>G29+7</f>
        <v>46216</v>
      </c>
      <c r="I29" s="80">
        <f>H29+10</f>
        <v>46226</v>
      </c>
      <c r="J29" s="103" t="s">
        <v>65</v>
      </c>
    </row>
    <row r="30" spans="1:10" ht="20.45" customHeight="1" x14ac:dyDescent="0.2">
      <c r="A30" s="242"/>
      <c r="B30" s="76" t="s">
        <v>67</v>
      </c>
      <c r="C30" s="99">
        <v>46232</v>
      </c>
      <c r="D30" s="80" t="s">
        <v>43</v>
      </c>
      <c r="E30" s="77" t="s">
        <v>22</v>
      </c>
      <c r="F30" s="80" t="s">
        <v>16</v>
      </c>
      <c r="G30" s="80">
        <v>46213</v>
      </c>
      <c r="H30" s="80">
        <f>G30+7</f>
        <v>46220</v>
      </c>
      <c r="I30" s="80">
        <f>H30+10</f>
        <v>46230</v>
      </c>
      <c r="J30" s="100" t="s">
        <v>25</v>
      </c>
    </row>
    <row r="31" spans="1:10" ht="20.45" customHeight="1" x14ac:dyDescent="0.2">
      <c r="A31" s="242"/>
      <c r="B31" s="76" t="s">
        <v>68</v>
      </c>
      <c r="C31" s="99">
        <v>46477</v>
      </c>
      <c r="D31" s="80" t="s">
        <v>43</v>
      </c>
      <c r="E31" s="77" t="s">
        <v>31</v>
      </c>
      <c r="F31" s="80" t="s">
        <v>16</v>
      </c>
      <c r="G31" s="80">
        <v>46413</v>
      </c>
      <c r="H31" s="80">
        <f>G31+7</f>
        <v>46420</v>
      </c>
      <c r="I31" s="80">
        <f>H31+15</f>
        <v>46435</v>
      </c>
      <c r="J31" s="100"/>
    </row>
    <row r="32" spans="1:10" ht="24" customHeight="1" x14ac:dyDescent="0.2">
      <c r="A32" s="243" t="s">
        <v>69</v>
      </c>
      <c r="B32" s="76" t="s">
        <v>70</v>
      </c>
      <c r="C32" s="99">
        <v>46223</v>
      </c>
      <c r="D32" s="80" t="s">
        <v>56</v>
      </c>
      <c r="E32" s="77" t="s">
        <v>22</v>
      </c>
      <c r="F32" s="80" t="s">
        <v>35</v>
      </c>
      <c r="G32" s="80" t="s">
        <v>52</v>
      </c>
      <c r="H32" s="80" t="s">
        <v>52</v>
      </c>
      <c r="I32" s="80" t="s">
        <v>52</v>
      </c>
      <c r="J32" s="78"/>
    </row>
    <row r="33" spans="1:10" ht="24" customHeight="1" x14ac:dyDescent="0.2">
      <c r="A33" s="243"/>
      <c r="B33" s="76" t="s">
        <v>71</v>
      </c>
      <c r="C33" s="80">
        <v>46223</v>
      </c>
      <c r="D33" s="80" t="s">
        <v>56</v>
      </c>
      <c r="E33" s="77" t="s">
        <v>22</v>
      </c>
      <c r="F33" s="80" t="s">
        <v>35</v>
      </c>
      <c r="G33" s="80" t="s">
        <v>52</v>
      </c>
      <c r="H33" s="80" t="s">
        <v>52</v>
      </c>
      <c r="I33" s="80" t="s">
        <v>52</v>
      </c>
      <c r="J33" s="78"/>
    </row>
    <row r="34" spans="1:10" ht="24" customHeight="1" x14ac:dyDescent="0.2">
      <c r="A34" s="243"/>
      <c r="B34" s="76" t="s">
        <v>72</v>
      </c>
      <c r="C34" s="99">
        <v>46223</v>
      </c>
      <c r="D34" s="80" t="s">
        <v>56</v>
      </c>
      <c r="E34" s="77" t="s">
        <v>22</v>
      </c>
      <c r="F34" s="80" t="s">
        <v>35</v>
      </c>
      <c r="G34" s="80" t="s">
        <v>52</v>
      </c>
      <c r="H34" s="80" t="s">
        <v>52</v>
      </c>
      <c r="I34" s="80" t="s">
        <v>52</v>
      </c>
      <c r="J34" s="78"/>
    </row>
    <row r="35" spans="1:10" ht="24" customHeight="1" x14ac:dyDescent="0.2">
      <c r="A35" s="243"/>
      <c r="B35" s="76" t="s">
        <v>73</v>
      </c>
      <c r="C35" s="80">
        <v>46223</v>
      </c>
      <c r="D35" s="80" t="s">
        <v>74</v>
      </c>
      <c r="E35" s="77" t="s">
        <v>22</v>
      </c>
      <c r="F35" s="80" t="s">
        <v>35</v>
      </c>
      <c r="G35" s="80" t="s">
        <v>52</v>
      </c>
      <c r="H35" s="80" t="s">
        <v>52</v>
      </c>
      <c r="I35" s="80" t="s">
        <v>52</v>
      </c>
      <c r="J35" s="78"/>
    </row>
    <row r="36" spans="1:10" ht="24" customHeight="1" x14ac:dyDescent="0.2">
      <c r="A36" s="243"/>
      <c r="B36" s="76" t="s">
        <v>75</v>
      </c>
      <c r="C36" s="99">
        <v>46223</v>
      </c>
      <c r="D36" s="80" t="s">
        <v>76</v>
      </c>
      <c r="E36" s="77" t="s">
        <v>22</v>
      </c>
      <c r="F36" s="80" t="s">
        <v>35</v>
      </c>
      <c r="G36" s="80" t="s">
        <v>52</v>
      </c>
      <c r="H36" s="80" t="s">
        <v>52</v>
      </c>
      <c r="I36" s="80" t="s">
        <v>52</v>
      </c>
      <c r="J36" s="78"/>
    </row>
    <row r="37" spans="1:10" ht="34.5" customHeight="1" x14ac:dyDescent="0.2">
      <c r="A37" s="243"/>
      <c r="B37" s="76" t="s">
        <v>77</v>
      </c>
      <c r="C37" s="99">
        <v>46228</v>
      </c>
      <c r="D37" s="80" t="s">
        <v>21</v>
      </c>
      <c r="E37" s="77" t="s">
        <v>22</v>
      </c>
      <c r="F37" s="80" t="s">
        <v>35</v>
      </c>
      <c r="G37" s="80" t="s">
        <v>52</v>
      </c>
      <c r="H37" s="80" t="s">
        <v>52</v>
      </c>
      <c r="I37" s="80" t="s">
        <v>52</v>
      </c>
      <c r="J37" s="78"/>
    </row>
    <row r="38" spans="1:10" ht="24" customHeight="1" x14ac:dyDescent="0.2">
      <c r="A38" s="243"/>
      <c r="B38" s="76" t="s">
        <v>78</v>
      </c>
      <c r="C38" s="99">
        <v>46228</v>
      </c>
      <c r="D38" s="80" t="s">
        <v>28</v>
      </c>
      <c r="E38" s="77" t="s">
        <v>22</v>
      </c>
      <c r="F38" s="80" t="s">
        <v>35</v>
      </c>
      <c r="G38" s="80" t="s">
        <v>52</v>
      </c>
      <c r="H38" s="80" t="s">
        <v>52</v>
      </c>
      <c r="I38" s="80" t="s">
        <v>52</v>
      </c>
      <c r="J38" s="78"/>
    </row>
    <row r="39" spans="1:10" ht="24" customHeight="1" x14ac:dyDescent="0.2">
      <c r="A39" s="243"/>
      <c r="B39" s="76" t="s">
        <v>79</v>
      </c>
      <c r="C39" s="99">
        <v>46234</v>
      </c>
      <c r="D39" s="80" t="s">
        <v>56</v>
      </c>
      <c r="E39" s="77" t="s">
        <v>22</v>
      </c>
      <c r="F39" s="80" t="s">
        <v>35</v>
      </c>
      <c r="G39" s="80" t="s">
        <v>52</v>
      </c>
      <c r="H39" s="80" t="s">
        <v>52</v>
      </c>
      <c r="I39" s="80" t="s">
        <v>52</v>
      </c>
      <c r="J39" s="78"/>
    </row>
    <row r="40" spans="1:10" ht="24" customHeight="1" x14ac:dyDescent="0.2">
      <c r="A40" s="243"/>
      <c r="B40" s="76" t="s">
        <v>80</v>
      </c>
      <c r="C40" s="99">
        <v>46295</v>
      </c>
      <c r="D40" s="80" t="s">
        <v>81</v>
      </c>
      <c r="E40" s="77" t="s">
        <v>22</v>
      </c>
      <c r="F40" s="80" t="s">
        <v>35</v>
      </c>
      <c r="G40" s="80" t="s">
        <v>52</v>
      </c>
      <c r="H40" s="80" t="s">
        <v>52</v>
      </c>
      <c r="I40" s="80" t="s">
        <v>52</v>
      </c>
      <c r="J40" s="78"/>
    </row>
    <row r="41" spans="1:10" ht="24" customHeight="1" x14ac:dyDescent="0.2">
      <c r="A41" s="243"/>
      <c r="B41" s="98" t="s">
        <v>82</v>
      </c>
      <c r="C41" s="99">
        <v>46418</v>
      </c>
      <c r="D41" s="80" t="s">
        <v>28</v>
      </c>
      <c r="E41" s="77" t="s">
        <v>31</v>
      </c>
      <c r="F41" s="80" t="s">
        <v>35</v>
      </c>
      <c r="G41" s="80" t="s">
        <v>52</v>
      </c>
      <c r="H41" s="80" t="s">
        <v>52</v>
      </c>
      <c r="I41" s="80" t="s">
        <v>52</v>
      </c>
      <c r="J41" s="78"/>
    </row>
    <row r="42" spans="1:10" ht="24" customHeight="1" x14ac:dyDescent="0.2">
      <c r="A42" s="243"/>
      <c r="B42" s="98" t="s">
        <v>83</v>
      </c>
      <c r="C42" s="99">
        <v>46418</v>
      </c>
      <c r="D42" s="80" t="s">
        <v>28</v>
      </c>
      <c r="E42" s="77" t="s">
        <v>31</v>
      </c>
      <c r="F42" s="80" t="s">
        <v>35</v>
      </c>
      <c r="G42" s="80" t="s">
        <v>52</v>
      </c>
      <c r="H42" s="80" t="s">
        <v>52</v>
      </c>
      <c r="I42" s="80" t="s">
        <v>52</v>
      </c>
      <c r="J42" s="78"/>
    </row>
    <row r="43" spans="1:10" ht="24" customHeight="1" x14ac:dyDescent="0.2">
      <c r="A43" s="243"/>
      <c r="B43" s="98" t="s">
        <v>84</v>
      </c>
      <c r="C43" s="99">
        <v>46418</v>
      </c>
      <c r="D43" s="80" t="s">
        <v>28</v>
      </c>
      <c r="E43" s="77" t="s">
        <v>31</v>
      </c>
      <c r="F43" s="80" t="s">
        <v>35</v>
      </c>
      <c r="G43" s="80" t="s">
        <v>52</v>
      </c>
      <c r="H43" s="80" t="s">
        <v>52</v>
      </c>
      <c r="I43" s="80" t="s">
        <v>52</v>
      </c>
      <c r="J43" s="78"/>
    </row>
    <row r="44" spans="1:10" ht="24" customHeight="1" x14ac:dyDescent="0.2">
      <c r="A44" s="243"/>
      <c r="B44" s="76" t="s">
        <v>85</v>
      </c>
      <c r="C44" s="99">
        <v>46418</v>
      </c>
      <c r="D44" s="80" t="s">
        <v>28</v>
      </c>
      <c r="E44" s="77" t="s">
        <v>31</v>
      </c>
      <c r="F44" s="80" t="s">
        <v>35</v>
      </c>
      <c r="G44" s="80" t="s">
        <v>52</v>
      </c>
      <c r="H44" s="80" t="s">
        <v>52</v>
      </c>
      <c r="I44" s="80" t="s">
        <v>52</v>
      </c>
      <c r="J44" s="78"/>
    </row>
    <row r="45" spans="1:10" ht="24" customHeight="1" x14ac:dyDescent="0.2">
      <c r="A45" s="85" t="s">
        <v>34</v>
      </c>
      <c r="B45" s="76" t="s">
        <v>86</v>
      </c>
      <c r="C45" s="99">
        <v>46446</v>
      </c>
      <c r="D45" s="80" t="s">
        <v>87</v>
      </c>
      <c r="E45" s="77" t="s">
        <v>31</v>
      </c>
      <c r="F45" s="80" t="s">
        <v>35</v>
      </c>
      <c r="G45" s="80" t="s">
        <v>52</v>
      </c>
      <c r="H45" s="80" t="s">
        <v>52</v>
      </c>
      <c r="I45" s="80" t="s">
        <v>52</v>
      </c>
      <c r="J45" s="78"/>
    </row>
    <row r="46" spans="1:10" ht="24" customHeight="1" x14ac:dyDescent="0.2">
      <c r="A46" s="85" t="s">
        <v>34</v>
      </c>
      <c r="B46" s="76" t="s">
        <v>88</v>
      </c>
      <c r="C46" s="99">
        <v>46223</v>
      </c>
      <c r="D46" s="80" t="s">
        <v>89</v>
      </c>
      <c r="E46" s="77" t="s">
        <v>15</v>
      </c>
      <c r="F46" s="80" t="s">
        <v>35</v>
      </c>
      <c r="G46" s="80" t="s">
        <v>52</v>
      </c>
      <c r="H46" s="80" t="s">
        <v>52</v>
      </c>
      <c r="I46" s="80" t="s">
        <v>52</v>
      </c>
      <c r="J46" s="78"/>
    </row>
    <row r="47" spans="1:10" ht="24" customHeight="1" x14ac:dyDescent="0.2">
      <c r="A47" s="86" t="s">
        <v>90</v>
      </c>
      <c r="B47" s="87" t="s">
        <v>91</v>
      </c>
      <c r="C47" s="105">
        <v>46477</v>
      </c>
      <c r="D47" s="88" t="s">
        <v>56</v>
      </c>
      <c r="E47" s="106" t="s">
        <v>31</v>
      </c>
      <c r="F47" s="88" t="s">
        <v>35</v>
      </c>
      <c r="G47" s="88" t="s">
        <v>52</v>
      </c>
      <c r="H47" s="88" t="s">
        <v>52</v>
      </c>
      <c r="I47" s="88" t="s">
        <v>52</v>
      </c>
      <c r="J47" s="89"/>
    </row>
  </sheetData>
  <autoFilter ref="A2:J47" xr:uid="{00000000-0009-0000-0000-000000000000}"/>
  <mergeCells count="8">
    <mergeCell ref="A5:A6"/>
    <mergeCell ref="A7:A8"/>
    <mergeCell ref="A32:A44"/>
    <mergeCell ref="H1:I1"/>
    <mergeCell ref="A9:A13"/>
    <mergeCell ref="A14:A20"/>
    <mergeCell ref="A21:A31"/>
    <mergeCell ref="A1:F1"/>
  </mergeCells>
  <phoneticPr fontId="1" type="noConversion"/>
  <dataValidations count="1">
    <dataValidation type="list" allowBlank="1" showInputMessage="1" showErrorMessage="1" sqref="E3:E8 E11:E13 E16:E18 E21:E47 F48:F204" xr:uid="{00000000-0002-0000-0000-000000000000}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5"/>
  <sheetViews>
    <sheetView tabSelected="1" zoomScale="90" zoomScaleNormal="90" workbookViewId="0">
      <pane xSplit="1" ySplit="7" topLeftCell="B8" activePane="bottomRight" state="frozen"/>
      <selection pane="topRight"/>
      <selection pane="bottomLeft"/>
      <selection pane="bottomRight" activeCell="D35" sqref="D35"/>
    </sheetView>
  </sheetViews>
  <sheetFormatPr defaultColWidth="8.875" defaultRowHeight="14.25" customHeight="1" x14ac:dyDescent="0.25"/>
  <cols>
    <col min="1" max="1" width="21" style="101" customWidth="1"/>
    <col min="2" max="2" width="10" style="101" customWidth="1"/>
    <col min="3" max="3" width="46.75" style="101" customWidth="1"/>
    <col min="4" max="4" width="22.5" style="101" customWidth="1"/>
    <col min="5" max="7" width="8.875" style="101" customWidth="1"/>
    <col min="8" max="8" width="8.875" style="123" customWidth="1"/>
    <col min="9" max="9" width="8.875" style="101" customWidth="1"/>
  </cols>
  <sheetData>
    <row r="1" spans="1:9" ht="14.25" customHeight="1" x14ac:dyDescent="0.25">
      <c r="A1" s="50" t="s">
        <v>92</v>
      </c>
      <c r="B1" s="51" t="s">
        <v>398</v>
      </c>
      <c r="C1" s="52"/>
      <c r="D1" s="53"/>
      <c r="E1" s="53"/>
      <c r="F1" s="53"/>
      <c r="G1" s="53"/>
      <c r="H1" s="122"/>
    </row>
    <row r="2" spans="1:9" ht="14.25" customHeight="1" x14ac:dyDescent="0.25">
      <c r="A2" s="50" t="s">
        <v>93</v>
      </c>
      <c r="B2" s="51">
        <v>46259</v>
      </c>
      <c r="C2" s="53"/>
      <c r="D2" s="53"/>
      <c r="E2" s="53"/>
      <c r="F2" s="53"/>
      <c r="G2" s="53"/>
      <c r="H2" s="122"/>
    </row>
    <row r="3" spans="1:9" ht="14.25" customHeight="1" x14ac:dyDescent="0.25">
      <c r="A3" s="50" t="s">
        <v>94</v>
      </c>
      <c r="B3" s="51">
        <v>46345</v>
      </c>
      <c r="C3" s="53"/>
      <c r="D3" s="53"/>
      <c r="E3" s="53"/>
      <c r="F3" s="53"/>
      <c r="G3" s="53"/>
      <c r="H3" s="122"/>
    </row>
    <row r="4" spans="1:9" ht="14.25" customHeight="1" x14ac:dyDescent="0.25">
      <c r="A4" s="50" t="s">
        <v>95</v>
      </c>
      <c r="B4" s="54">
        <f>B3-B2</f>
        <v>86</v>
      </c>
      <c r="C4" s="53"/>
      <c r="D4" s="53"/>
      <c r="E4" s="53"/>
      <c r="F4" s="53"/>
      <c r="G4" s="53"/>
      <c r="H4" s="122"/>
    </row>
    <row r="5" spans="1:9" ht="14.25" customHeight="1" x14ac:dyDescent="0.25">
      <c r="A5" s="50" t="s">
        <v>357</v>
      </c>
      <c r="B5" s="51" t="s">
        <v>96</v>
      </c>
      <c r="C5" s="53"/>
      <c r="D5" s="53"/>
      <c r="E5" s="53"/>
      <c r="F5" s="53"/>
      <c r="G5" s="53"/>
      <c r="H5" s="122"/>
    </row>
    <row r="6" spans="1:9" ht="14.25" customHeight="1" x14ac:dyDescent="0.25">
      <c r="A6" s="117"/>
      <c r="B6" s="118"/>
      <c r="C6" s="53"/>
      <c r="D6" s="53"/>
      <c r="E6" s="53"/>
      <c r="F6" s="53"/>
      <c r="G6" s="53"/>
      <c r="H6" s="122"/>
    </row>
    <row r="7" spans="1:9" ht="14.25" customHeight="1" x14ac:dyDescent="0.25">
      <c r="A7" s="117"/>
      <c r="B7" s="118"/>
      <c r="C7" s="53"/>
      <c r="D7" s="53"/>
      <c r="E7" s="53"/>
      <c r="F7" s="53"/>
      <c r="G7" s="53"/>
      <c r="H7" s="122"/>
    </row>
    <row r="8" spans="1:9" ht="14.25" customHeight="1" x14ac:dyDescent="0.25">
      <c r="A8" s="53"/>
      <c r="B8" s="53"/>
      <c r="C8" s="53"/>
      <c r="D8" s="53"/>
      <c r="E8" s="53"/>
      <c r="F8" s="53"/>
      <c r="G8" s="53"/>
      <c r="H8" s="122"/>
    </row>
    <row r="9" spans="1:9" ht="14.25" customHeight="1" x14ac:dyDescent="0.25">
      <c r="A9" s="124" t="s">
        <v>97</v>
      </c>
      <c r="B9" s="72"/>
      <c r="C9" s="235" t="s">
        <v>98</v>
      </c>
      <c r="D9" s="235"/>
      <c r="E9" s="235"/>
      <c r="F9" s="235"/>
      <c r="G9" s="235"/>
      <c r="H9" s="235"/>
      <c r="I9" s="236"/>
    </row>
    <row r="10" spans="1:9" ht="14.1" customHeight="1" x14ac:dyDescent="0.25">
      <c r="A10" s="68" t="s">
        <v>99</v>
      </c>
      <c r="B10" s="47" t="s">
        <v>100</v>
      </c>
      <c r="C10" s="47" t="s">
        <v>101</v>
      </c>
      <c r="D10" s="47" t="s">
        <v>102</v>
      </c>
      <c r="E10" s="71" t="s">
        <v>93</v>
      </c>
      <c r="F10" s="71" t="s">
        <v>94</v>
      </c>
      <c r="G10" s="71" t="s">
        <v>103</v>
      </c>
      <c r="H10" s="55" t="s">
        <v>7</v>
      </c>
      <c r="I10" s="47" t="s">
        <v>3</v>
      </c>
    </row>
    <row r="11" spans="1:9" ht="14.1" customHeight="1" x14ac:dyDescent="0.25">
      <c r="A11" s="62"/>
      <c r="B11" s="62"/>
      <c r="C11" s="62" t="s">
        <v>104</v>
      </c>
      <c r="D11" s="62"/>
      <c r="E11" s="64">
        <f>MIN(E12:E19)</f>
        <v>46265</v>
      </c>
      <c r="F11" s="64">
        <f>MAX(F12:F19)</f>
        <v>46292</v>
      </c>
      <c r="G11" s="120">
        <f t="shared" ref="G11:G48" si="0">F11-E11+1</f>
        <v>28</v>
      </c>
      <c r="H11" s="49" t="s">
        <v>22</v>
      </c>
      <c r="I11" s="62"/>
    </row>
    <row r="12" spans="1:9" ht="14.1" customHeight="1" x14ac:dyDescent="0.25">
      <c r="A12" s="233" t="s">
        <v>105</v>
      </c>
      <c r="B12" s="38" t="str">
        <f>"ABC-"&amp;"00"&amp;ROW()-11</f>
        <v>ABC-001</v>
      </c>
      <c r="C12" s="38" t="s">
        <v>106</v>
      </c>
      <c r="D12" s="115" t="s">
        <v>359</v>
      </c>
      <c r="E12" s="56">
        <v>46265</v>
      </c>
      <c r="F12" s="56">
        <v>46265</v>
      </c>
      <c r="G12" s="119">
        <f t="shared" si="0"/>
        <v>1</v>
      </c>
      <c r="H12" s="40" t="s">
        <v>15</v>
      </c>
      <c r="I12" s="38"/>
    </row>
    <row r="13" spans="1:9" ht="14.1" customHeight="1" x14ac:dyDescent="0.25">
      <c r="A13" s="234"/>
      <c r="B13" s="38" t="str">
        <f>"ABC-"&amp;"00"&amp;ROW()-11</f>
        <v>ABC-002</v>
      </c>
      <c r="C13" s="38" t="s">
        <v>107</v>
      </c>
      <c r="D13" s="115" t="s">
        <v>359</v>
      </c>
      <c r="E13" s="56">
        <v>46265</v>
      </c>
      <c r="F13" s="56">
        <v>46272</v>
      </c>
      <c r="G13" s="119">
        <f t="shared" si="0"/>
        <v>8</v>
      </c>
      <c r="H13" s="40" t="s">
        <v>15</v>
      </c>
      <c r="I13" s="38"/>
    </row>
    <row r="14" spans="1:9" ht="14.1" customHeight="1" x14ac:dyDescent="0.25">
      <c r="A14" s="234"/>
      <c r="B14" s="38" t="str">
        <f>"ABC-"&amp;"00"&amp;ROW()-11</f>
        <v>ABC-003</v>
      </c>
      <c r="C14" s="38" t="s">
        <v>108</v>
      </c>
      <c r="D14" s="116" t="s">
        <v>360</v>
      </c>
      <c r="E14" s="56">
        <v>46265</v>
      </c>
      <c r="F14" s="56">
        <v>46274</v>
      </c>
      <c r="G14" s="119">
        <f t="shared" si="0"/>
        <v>10</v>
      </c>
      <c r="H14" s="40" t="s">
        <v>15</v>
      </c>
      <c r="I14" s="38"/>
    </row>
    <row r="15" spans="1:9" ht="14.1" customHeight="1" x14ac:dyDescent="0.25">
      <c r="A15" s="234"/>
      <c r="B15" s="38" t="str">
        <f>"ABC-"&amp;"00"&amp;ROW()-11</f>
        <v>ABC-004</v>
      </c>
      <c r="C15" s="38" t="s">
        <v>109</v>
      </c>
      <c r="D15" s="116" t="s">
        <v>360</v>
      </c>
      <c r="E15" s="56">
        <v>46275</v>
      </c>
      <c r="F15" s="56">
        <v>46279</v>
      </c>
      <c r="G15" s="119">
        <f t="shared" si="0"/>
        <v>5</v>
      </c>
      <c r="H15" s="40" t="s">
        <v>15</v>
      </c>
      <c r="I15" s="38"/>
    </row>
    <row r="16" spans="1:9" ht="14.1" customHeight="1" x14ac:dyDescent="0.25">
      <c r="A16" s="234"/>
      <c r="B16" s="38" t="str">
        <f>"ABC-"&amp;"00"&amp;ROW()-11</f>
        <v>ABC-005</v>
      </c>
      <c r="C16" s="38" t="s">
        <v>110</v>
      </c>
      <c r="D16" s="116" t="s">
        <v>360</v>
      </c>
      <c r="E16" s="56">
        <v>46280</v>
      </c>
      <c r="F16" s="56">
        <v>46284</v>
      </c>
      <c r="G16" s="119">
        <f t="shared" si="0"/>
        <v>5</v>
      </c>
      <c r="H16" s="40" t="s">
        <v>15</v>
      </c>
      <c r="I16" s="38"/>
    </row>
    <row r="17" spans="1:9" ht="14.1" customHeight="1" x14ac:dyDescent="0.25">
      <c r="A17" s="234"/>
      <c r="B17" s="38" t="str">
        <f>"ABC-"&amp;"00"&amp;ROW()-11</f>
        <v>ABC-006</v>
      </c>
      <c r="C17" s="38" t="s">
        <v>111</v>
      </c>
      <c r="D17" s="116" t="s">
        <v>360</v>
      </c>
      <c r="E17" s="56">
        <v>46285</v>
      </c>
      <c r="F17" s="56">
        <v>46292</v>
      </c>
      <c r="G17" s="119">
        <f t="shared" si="0"/>
        <v>8</v>
      </c>
      <c r="H17" s="40" t="s">
        <v>15</v>
      </c>
      <c r="I17" s="38"/>
    </row>
    <row r="18" spans="1:9" ht="14.1" customHeight="1" x14ac:dyDescent="0.25">
      <c r="A18" s="234"/>
      <c r="B18" s="38" t="str">
        <f>"ABC-"&amp;"00"&amp;ROW()-11</f>
        <v>ABC-007</v>
      </c>
      <c r="C18" s="38" t="s">
        <v>112</v>
      </c>
      <c r="D18" s="116" t="s">
        <v>360</v>
      </c>
      <c r="E18" s="56">
        <v>46265</v>
      </c>
      <c r="F18" s="56">
        <v>46274</v>
      </c>
      <c r="G18" s="119">
        <f t="shared" si="0"/>
        <v>10</v>
      </c>
      <c r="H18" s="40" t="s">
        <v>15</v>
      </c>
      <c r="I18" s="38"/>
    </row>
    <row r="19" spans="1:9" ht="14.1" customHeight="1" x14ac:dyDescent="0.25">
      <c r="A19" s="234"/>
      <c r="B19" s="38" t="str">
        <f>"ABC-"&amp;"00"&amp;ROW()-11</f>
        <v>ABC-008</v>
      </c>
      <c r="C19" s="38" t="s">
        <v>113</v>
      </c>
      <c r="D19" s="116" t="s">
        <v>360</v>
      </c>
      <c r="E19" s="56">
        <v>46275</v>
      </c>
      <c r="F19" s="56">
        <v>46279</v>
      </c>
      <c r="G19" s="119">
        <f t="shared" si="0"/>
        <v>5</v>
      </c>
      <c r="H19" s="40" t="s">
        <v>15</v>
      </c>
      <c r="I19" s="38"/>
    </row>
    <row r="20" spans="1:9" ht="14.1" customHeight="1" x14ac:dyDescent="0.25">
      <c r="A20" s="62"/>
      <c r="B20" s="62"/>
      <c r="C20" s="62" t="s">
        <v>114</v>
      </c>
      <c r="D20" s="62"/>
      <c r="E20" s="64">
        <f>MIN(E21:E28)</f>
        <v>46269</v>
      </c>
      <c r="F20" s="64">
        <f>MAX(F21:F28)</f>
        <v>46352</v>
      </c>
      <c r="G20" s="65">
        <f t="shared" si="0"/>
        <v>84</v>
      </c>
      <c r="H20" s="49" t="s">
        <v>22</v>
      </c>
      <c r="I20" s="62"/>
    </row>
    <row r="21" spans="1:9" ht="14.1" customHeight="1" x14ac:dyDescent="0.25">
      <c r="A21" s="237" t="s">
        <v>115</v>
      </c>
      <c r="B21" s="38" t="str">
        <f>"ABC-"&amp;"00"&amp;ROW()-12</f>
        <v>ABC-009</v>
      </c>
      <c r="C21" s="127" t="s">
        <v>116</v>
      </c>
      <c r="D21" s="115" t="s">
        <v>361</v>
      </c>
      <c r="E21" s="56">
        <v>46269</v>
      </c>
      <c r="F21" s="56">
        <v>46274</v>
      </c>
      <c r="G21" s="119">
        <f t="shared" si="0"/>
        <v>6</v>
      </c>
      <c r="H21" s="40" t="s">
        <v>15</v>
      </c>
      <c r="I21" s="126"/>
    </row>
    <row r="22" spans="1:9" ht="14.1" customHeight="1" x14ac:dyDescent="0.25">
      <c r="A22" s="238"/>
      <c r="B22" s="38" t="str">
        <f>"ABC-"&amp;"0"&amp;ROW()-12</f>
        <v>ABC-010</v>
      </c>
      <c r="C22" s="112" t="s">
        <v>117</v>
      </c>
      <c r="D22" s="136" t="s">
        <v>361</v>
      </c>
      <c r="E22" s="56">
        <v>46269</v>
      </c>
      <c r="F22" s="56">
        <v>46272</v>
      </c>
      <c r="G22" s="119">
        <f t="shared" si="0"/>
        <v>4</v>
      </c>
      <c r="H22" s="40" t="s">
        <v>15</v>
      </c>
      <c r="I22" s="126"/>
    </row>
    <row r="23" spans="1:9" ht="14.1" customHeight="1" x14ac:dyDescent="0.25">
      <c r="A23" s="238"/>
      <c r="B23" s="38" t="str">
        <f>"ABC-"&amp;"0"&amp;ROW()-12</f>
        <v>ABC-011</v>
      </c>
      <c r="C23" s="38" t="s">
        <v>118</v>
      </c>
      <c r="D23" s="115" t="s">
        <v>361</v>
      </c>
      <c r="E23" s="56">
        <v>46269</v>
      </c>
      <c r="F23" s="56">
        <v>46272</v>
      </c>
      <c r="G23" s="119">
        <f t="shared" si="0"/>
        <v>4</v>
      </c>
      <c r="H23" s="40" t="s">
        <v>15</v>
      </c>
      <c r="I23" s="38"/>
    </row>
    <row r="24" spans="1:9" ht="14.1" customHeight="1" x14ac:dyDescent="0.25">
      <c r="A24" s="238"/>
      <c r="B24" s="137" t="str">
        <f>"ABC-"&amp;"0"&amp;ROW()-12</f>
        <v>ABC-012</v>
      </c>
      <c r="C24" s="229" t="s">
        <v>315</v>
      </c>
      <c r="D24" s="228" t="s">
        <v>364</v>
      </c>
      <c r="E24" s="138">
        <v>46273</v>
      </c>
      <c r="F24" s="138">
        <v>46289</v>
      </c>
      <c r="G24" s="139">
        <f t="shared" ref="G24" si="1">F24-E24+1</f>
        <v>17</v>
      </c>
      <c r="H24" s="140" t="s">
        <v>22</v>
      </c>
      <c r="I24" s="38"/>
    </row>
    <row r="25" spans="1:9" ht="14.1" customHeight="1" x14ac:dyDescent="0.25">
      <c r="A25" s="238"/>
      <c r="B25" s="137" t="str">
        <f>"ABC-"&amp;"0"&amp;ROW()-12</f>
        <v>ABC-013</v>
      </c>
      <c r="C25" s="137" t="s">
        <v>401</v>
      </c>
      <c r="D25" s="228" t="s">
        <v>362</v>
      </c>
      <c r="E25" s="138">
        <v>46272</v>
      </c>
      <c r="F25" s="138">
        <v>46275</v>
      </c>
      <c r="G25" s="139">
        <f t="shared" si="0"/>
        <v>4</v>
      </c>
      <c r="H25" s="140" t="s">
        <v>15</v>
      </c>
      <c r="I25" s="38"/>
    </row>
    <row r="26" spans="1:9" ht="14.1" customHeight="1" x14ac:dyDescent="0.25">
      <c r="A26" s="238"/>
      <c r="B26" s="137" t="str">
        <f>"ABC-"&amp;"0"&amp;ROW()-12</f>
        <v>ABC-014</v>
      </c>
      <c r="C26" s="137" t="s">
        <v>400</v>
      </c>
      <c r="D26" s="228" t="s">
        <v>363</v>
      </c>
      <c r="E26" s="138">
        <v>46288</v>
      </c>
      <c r="F26" s="138">
        <v>46295</v>
      </c>
      <c r="G26" s="139">
        <f t="shared" si="0"/>
        <v>8</v>
      </c>
      <c r="H26" s="140" t="s">
        <v>22</v>
      </c>
      <c r="I26" s="38"/>
    </row>
    <row r="27" spans="1:9" ht="14.1" customHeight="1" x14ac:dyDescent="0.25">
      <c r="A27" s="238"/>
      <c r="B27" s="137" t="str">
        <f>"ABC-"&amp;"0"&amp;ROW()-12</f>
        <v>ABC-015</v>
      </c>
      <c r="C27" s="137" t="s">
        <v>119</v>
      </c>
      <c r="D27" s="228" t="s">
        <v>364</v>
      </c>
      <c r="E27" s="138">
        <v>46315</v>
      </c>
      <c r="F27" s="138">
        <v>46346</v>
      </c>
      <c r="G27" s="139">
        <f t="shared" si="0"/>
        <v>32</v>
      </c>
      <c r="H27" s="140" t="s">
        <v>31</v>
      </c>
      <c r="I27" s="38"/>
    </row>
    <row r="28" spans="1:9" ht="14.1" customHeight="1" x14ac:dyDescent="0.25">
      <c r="A28" s="239"/>
      <c r="B28" s="137" t="str">
        <f>"ABC-"&amp;"0"&amp;ROW()-12</f>
        <v>ABC-016</v>
      </c>
      <c r="C28" s="137" t="s">
        <v>402</v>
      </c>
      <c r="D28" s="228" t="s">
        <v>363</v>
      </c>
      <c r="E28" s="138">
        <v>46347</v>
      </c>
      <c r="F28" s="138">
        <v>46352</v>
      </c>
      <c r="G28" s="139">
        <f t="shared" si="0"/>
        <v>6</v>
      </c>
      <c r="H28" s="140" t="s">
        <v>31</v>
      </c>
      <c r="I28" s="111"/>
    </row>
    <row r="29" spans="1:9" ht="14.1" customHeight="1" x14ac:dyDescent="0.25">
      <c r="A29" s="62"/>
      <c r="B29" s="62"/>
      <c r="C29" s="62" t="s">
        <v>120</v>
      </c>
      <c r="D29" s="62"/>
      <c r="E29" s="64">
        <f>MIN(E30:E32)</f>
        <v>46269</v>
      </c>
      <c r="F29" s="64">
        <f>MAX(F30:F32)</f>
        <v>46312</v>
      </c>
      <c r="G29" s="65">
        <f t="shared" si="0"/>
        <v>44</v>
      </c>
      <c r="H29" s="49" t="s">
        <v>22</v>
      </c>
      <c r="I29" s="62"/>
    </row>
    <row r="30" spans="1:9" ht="14.1" customHeight="1" x14ac:dyDescent="0.25">
      <c r="A30" s="38" t="s">
        <v>121</v>
      </c>
      <c r="B30" s="38" t="str">
        <f>"ABC-"&amp;"0"&amp;ROW()-13</f>
        <v>ABC-017</v>
      </c>
      <c r="C30" s="111" t="s">
        <v>122</v>
      </c>
      <c r="D30" s="115" t="s">
        <v>366</v>
      </c>
      <c r="E30" s="56">
        <v>46269</v>
      </c>
      <c r="F30" s="56">
        <v>46275</v>
      </c>
      <c r="G30" s="119">
        <f t="shared" si="0"/>
        <v>7</v>
      </c>
      <c r="H30" s="40" t="s">
        <v>22</v>
      </c>
      <c r="I30" s="38"/>
    </row>
    <row r="31" spans="1:9" ht="14.1" customHeight="1" x14ac:dyDescent="0.25">
      <c r="A31" s="230" t="s">
        <v>123</v>
      </c>
      <c r="B31" s="38" t="str">
        <f>"ABC-"&amp;"0"&amp;ROW()-13</f>
        <v>ABC-018</v>
      </c>
      <c r="C31" s="111" t="s">
        <v>367</v>
      </c>
      <c r="D31" s="115" t="s">
        <v>390</v>
      </c>
      <c r="E31" s="56">
        <v>46295</v>
      </c>
      <c r="F31" s="56">
        <v>46308</v>
      </c>
      <c r="G31" s="119">
        <f t="shared" si="0"/>
        <v>14</v>
      </c>
      <c r="H31" s="40" t="s">
        <v>22</v>
      </c>
      <c r="I31" s="38"/>
    </row>
    <row r="32" spans="1:9" ht="14.1" customHeight="1" x14ac:dyDescent="0.25">
      <c r="A32" s="232"/>
      <c r="B32" s="38" t="str">
        <f>"ABC-"&amp;"0"&amp;ROW()-13</f>
        <v>ABC-019</v>
      </c>
      <c r="C32" s="111" t="s">
        <v>368</v>
      </c>
      <c r="D32" s="115" t="s">
        <v>390</v>
      </c>
      <c r="E32" s="56">
        <v>46303</v>
      </c>
      <c r="F32" s="56">
        <v>46312</v>
      </c>
      <c r="G32" s="119">
        <f t="shared" si="0"/>
        <v>10</v>
      </c>
      <c r="H32" s="40" t="s">
        <v>22</v>
      </c>
      <c r="I32" s="38"/>
    </row>
    <row r="33" spans="1:9" ht="14.1" customHeight="1" x14ac:dyDescent="0.25">
      <c r="A33" s="60"/>
      <c r="B33" s="61"/>
      <c r="C33" s="62" t="s">
        <v>124</v>
      </c>
      <c r="D33" s="63"/>
      <c r="E33" s="64">
        <f>MIN(E34:E34)</f>
        <v>46275</v>
      </c>
      <c r="F33" s="64">
        <f>MAX(F34:F34)</f>
        <v>46279</v>
      </c>
      <c r="G33" s="65">
        <f t="shared" si="0"/>
        <v>5</v>
      </c>
      <c r="H33" s="63" t="s">
        <v>15</v>
      </c>
      <c r="I33" s="44"/>
    </row>
    <row r="34" spans="1:9" ht="14.25" customHeight="1" x14ac:dyDescent="0.25">
      <c r="A34" s="230" t="s">
        <v>369</v>
      </c>
      <c r="B34" s="38" t="str">
        <f>"ABC-"&amp;"0"&amp;ROW()-14</f>
        <v>ABC-020</v>
      </c>
      <c r="C34" s="112" t="s">
        <v>370</v>
      </c>
      <c r="D34" s="115" t="s">
        <v>359</v>
      </c>
      <c r="E34" s="56">
        <v>46275</v>
      </c>
      <c r="F34" s="56">
        <v>46279</v>
      </c>
      <c r="G34" s="40">
        <f t="shared" si="0"/>
        <v>5</v>
      </c>
      <c r="H34" s="40" t="s">
        <v>15</v>
      </c>
      <c r="I34" s="42"/>
    </row>
    <row r="35" spans="1:9" ht="14.25" customHeight="1" x14ac:dyDescent="0.25">
      <c r="A35" s="232"/>
      <c r="B35" s="38" t="str">
        <f>"ABC-"&amp;"0"&amp;ROW()-14</f>
        <v>ABC-021</v>
      </c>
      <c r="C35" s="112" t="s">
        <v>125</v>
      </c>
      <c r="D35" s="45" t="s">
        <v>392</v>
      </c>
      <c r="E35" s="56">
        <v>46275</v>
      </c>
      <c r="F35" s="56">
        <v>46279</v>
      </c>
      <c r="G35" s="40">
        <f t="shared" si="0"/>
        <v>5</v>
      </c>
      <c r="H35" s="40" t="s">
        <v>15</v>
      </c>
      <c r="I35" s="42"/>
    </row>
    <row r="36" spans="1:9" ht="14.25" customHeight="1" x14ac:dyDescent="0.25">
      <c r="A36" s="60"/>
      <c r="B36" s="61"/>
      <c r="C36" s="62" t="s">
        <v>126</v>
      </c>
      <c r="D36" s="63"/>
      <c r="E36" s="64">
        <f>MIN(E37:E42)</f>
        <v>46280</v>
      </c>
      <c r="F36" s="64">
        <f>MAX(F37:F42)</f>
        <v>46300</v>
      </c>
      <c r="G36" s="65">
        <f t="shared" si="0"/>
        <v>21</v>
      </c>
      <c r="H36" s="63" t="s">
        <v>15</v>
      </c>
      <c r="I36" s="44"/>
    </row>
    <row r="37" spans="1:9" ht="14.25" customHeight="1" x14ac:dyDescent="0.25">
      <c r="A37" s="230" t="s">
        <v>371</v>
      </c>
      <c r="B37" s="38" t="str">
        <f>"ABC-"&amp;"0"&amp;ROW()-15</f>
        <v>ABC-022</v>
      </c>
      <c r="C37" s="46" t="s">
        <v>372</v>
      </c>
      <c r="D37" s="115" t="s">
        <v>359</v>
      </c>
      <c r="E37" s="56">
        <v>46280</v>
      </c>
      <c r="F37" s="56">
        <v>46284</v>
      </c>
      <c r="G37" s="40">
        <f t="shared" si="0"/>
        <v>5</v>
      </c>
      <c r="H37" s="40" t="s">
        <v>15</v>
      </c>
      <c r="I37" s="43"/>
    </row>
    <row r="38" spans="1:9" ht="14.25" customHeight="1" x14ac:dyDescent="0.25">
      <c r="A38" s="232"/>
      <c r="B38" s="38" t="str">
        <f>"ABC-"&amp;"0"&amp;ROW()-15</f>
        <v>ABC-023</v>
      </c>
      <c r="C38" s="112" t="s">
        <v>127</v>
      </c>
      <c r="D38" s="45" t="s">
        <v>391</v>
      </c>
      <c r="E38" s="56">
        <v>46280</v>
      </c>
      <c r="F38" s="56">
        <v>46284</v>
      </c>
      <c r="G38" s="40">
        <f t="shared" si="0"/>
        <v>5</v>
      </c>
      <c r="H38" s="40" t="s">
        <v>15</v>
      </c>
      <c r="I38" s="43"/>
    </row>
    <row r="39" spans="1:9" ht="14.25" customHeight="1" x14ac:dyDescent="0.25">
      <c r="A39" s="230" t="s">
        <v>373</v>
      </c>
      <c r="B39" s="38" t="str">
        <f>"ABC-"&amp;"0"&amp;ROW()-15</f>
        <v>ABC-024</v>
      </c>
      <c r="C39" s="46" t="s">
        <v>374</v>
      </c>
      <c r="D39" s="115" t="s">
        <v>359</v>
      </c>
      <c r="E39" s="56">
        <v>46285</v>
      </c>
      <c r="F39" s="56">
        <v>46292</v>
      </c>
      <c r="G39" s="40">
        <f t="shared" si="0"/>
        <v>8</v>
      </c>
      <c r="H39" s="40" t="s">
        <v>15</v>
      </c>
      <c r="I39" s="73"/>
    </row>
    <row r="40" spans="1:9" ht="14.25" customHeight="1" x14ac:dyDescent="0.25">
      <c r="A40" s="232"/>
      <c r="B40" s="38" t="str">
        <f>"ABC-"&amp;"0"&amp;ROW()-15</f>
        <v>ABC-025</v>
      </c>
      <c r="C40" s="112" t="s">
        <v>128</v>
      </c>
      <c r="D40" s="45" t="s">
        <v>391</v>
      </c>
      <c r="E40" s="56">
        <v>46285</v>
      </c>
      <c r="F40" s="56">
        <v>46292</v>
      </c>
      <c r="G40" s="40">
        <f t="shared" si="0"/>
        <v>8</v>
      </c>
      <c r="H40" s="40" t="s">
        <v>15</v>
      </c>
      <c r="I40" s="73"/>
    </row>
    <row r="41" spans="1:9" ht="14.1" customHeight="1" x14ac:dyDescent="0.25">
      <c r="A41" s="230" t="s">
        <v>375</v>
      </c>
      <c r="B41" s="38" t="str">
        <f>"ABC-"&amp;"0"&amp;ROW()-15</f>
        <v>ABC-026</v>
      </c>
      <c r="C41" s="46" t="s">
        <v>376</v>
      </c>
      <c r="D41" s="115" t="s">
        <v>359</v>
      </c>
      <c r="E41" s="56">
        <v>46293</v>
      </c>
      <c r="F41" s="56">
        <v>46300</v>
      </c>
      <c r="G41" s="40">
        <f t="shared" si="0"/>
        <v>8</v>
      </c>
      <c r="H41" s="40" t="s">
        <v>15</v>
      </c>
      <c r="I41" s="73"/>
    </row>
    <row r="42" spans="1:9" ht="14.1" customHeight="1" x14ac:dyDescent="0.25">
      <c r="A42" s="232"/>
      <c r="B42" s="38" t="str">
        <f>"ABC-"&amp;"0"&amp;ROW()-15</f>
        <v>ABC-027</v>
      </c>
      <c r="C42" s="112" t="s">
        <v>129</v>
      </c>
      <c r="D42" s="45" t="s">
        <v>391</v>
      </c>
      <c r="E42" s="56">
        <v>46293</v>
      </c>
      <c r="F42" s="56">
        <v>46300</v>
      </c>
      <c r="G42" s="40">
        <f t="shared" si="0"/>
        <v>8</v>
      </c>
      <c r="H42" s="40" t="s">
        <v>22</v>
      </c>
      <c r="I42" s="73"/>
    </row>
    <row r="43" spans="1:9" ht="14.25" customHeight="1" x14ac:dyDescent="0.25">
      <c r="A43" s="66"/>
      <c r="B43" s="67"/>
      <c r="C43" s="62" t="s">
        <v>130</v>
      </c>
      <c r="D43" s="63"/>
      <c r="E43" s="64">
        <f>MIN(E44:E50)</f>
        <v>46272</v>
      </c>
      <c r="F43" s="64">
        <f>MAX(F44:F47)</f>
        <v>46284</v>
      </c>
      <c r="G43" s="65">
        <f t="shared" si="0"/>
        <v>13</v>
      </c>
      <c r="H43" s="63" t="s">
        <v>15</v>
      </c>
      <c r="I43" s="44"/>
    </row>
    <row r="44" spans="1:9" ht="14.25" customHeight="1" x14ac:dyDescent="0.25">
      <c r="A44" s="230" t="s">
        <v>377</v>
      </c>
      <c r="B44" s="38" t="str">
        <f>"ABC-"&amp;"0"&amp;ROW()-16</f>
        <v>ABC-028</v>
      </c>
      <c r="C44" s="38" t="s">
        <v>378</v>
      </c>
      <c r="D44" s="115" t="s">
        <v>359</v>
      </c>
      <c r="E44" s="56">
        <v>46275</v>
      </c>
      <c r="F44" s="56">
        <v>46279</v>
      </c>
      <c r="G44" s="40">
        <f t="shared" si="0"/>
        <v>5</v>
      </c>
      <c r="H44" s="40" t="s">
        <v>15</v>
      </c>
      <c r="I44" s="41"/>
    </row>
    <row r="45" spans="1:9" ht="14.25" customHeight="1" x14ac:dyDescent="0.25">
      <c r="A45" s="232"/>
      <c r="B45" s="38" t="str">
        <f>"ABC-"&amp;"0"&amp;ROW()-16</f>
        <v>ABC-029</v>
      </c>
      <c r="C45" s="112" t="s">
        <v>131</v>
      </c>
      <c r="D45" s="45" t="s">
        <v>391</v>
      </c>
      <c r="E45" s="56">
        <v>46275</v>
      </c>
      <c r="F45" s="56">
        <v>46279</v>
      </c>
      <c r="G45" s="40">
        <f t="shared" si="0"/>
        <v>5</v>
      </c>
      <c r="H45" s="40" t="s">
        <v>15</v>
      </c>
      <c r="I45" s="41"/>
    </row>
    <row r="46" spans="1:9" ht="14.25" customHeight="1" x14ac:dyDescent="0.25">
      <c r="A46" s="230" t="s">
        <v>379</v>
      </c>
      <c r="B46" s="38" t="str">
        <f>"ABC-"&amp;"0"&amp;ROW()-16</f>
        <v>ABC-030</v>
      </c>
      <c r="C46" s="38" t="s">
        <v>380</v>
      </c>
      <c r="D46" s="115" t="s">
        <v>359</v>
      </c>
      <c r="E46" s="56">
        <v>46280</v>
      </c>
      <c r="F46" s="56">
        <v>46284</v>
      </c>
      <c r="G46" s="40">
        <f t="shared" si="0"/>
        <v>5</v>
      </c>
      <c r="H46" s="40" t="s">
        <v>15</v>
      </c>
      <c r="I46" s="41"/>
    </row>
    <row r="47" spans="1:9" ht="14.25" customHeight="1" x14ac:dyDescent="0.25">
      <c r="A47" s="232"/>
      <c r="B47" s="38" t="str">
        <f>"ABC-"&amp;"0"&amp;ROW()-16</f>
        <v>ABC-031</v>
      </c>
      <c r="C47" s="135" t="s">
        <v>381</v>
      </c>
      <c r="D47" s="45" t="s">
        <v>391</v>
      </c>
      <c r="E47" s="56">
        <v>46280</v>
      </c>
      <c r="F47" s="56">
        <v>46284</v>
      </c>
      <c r="G47" s="40">
        <f t="shared" si="0"/>
        <v>5</v>
      </c>
      <c r="H47" s="40" t="s">
        <v>15</v>
      </c>
      <c r="I47" s="41"/>
    </row>
    <row r="48" spans="1:9" s="58" customFormat="1" ht="16.5" customHeight="1" x14ac:dyDescent="0.25">
      <c r="A48" s="66"/>
      <c r="B48" s="67"/>
      <c r="C48" s="62" t="s">
        <v>132</v>
      </c>
      <c r="D48" s="63"/>
      <c r="E48" s="64">
        <f>MIN(E50:E64)</f>
        <v>46272</v>
      </c>
      <c r="F48" s="64">
        <f>MAX(F50:F64)</f>
        <v>46368</v>
      </c>
      <c r="G48" s="65">
        <f t="shared" si="0"/>
        <v>97</v>
      </c>
      <c r="H48" s="63" t="s">
        <v>31</v>
      </c>
      <c r="I48" s="44"/>
    </row>
    <row r="49" spans="1:9" s="58" customFormat="1" ht="16.5" customHeight="1" x14ac:dyDescent="0.25">
      <c r="A49" s="113" t="s">
        <v>133</v>
      </c>
      <c r="B49" s="38" t="str">
        <f>"ABC-"&amp;"0"&amp;ROW()-17</f>
        <v>ABC-032</v>
      </c>
      <c r="C49" s="112" t="s">
        <v>358</v>
      </c>
      <c r="D49" s="45" t="s">
        <v>393</v>
      </c>
      <c r="E49" s="56" t="s">
        <v>134</v>
      </c>
      <c r="F49" s="56" t="s">
        <v>134</v>
      </c>
      <c r="G49" s="40" t="s">
        <v>134</v>
      </c>
      <c r="H49" s="40" t="s">
        <v>31</v>
      </c>
      <c r="I49" s="125"/>
    </row>
    <row r="50" spans="1:9" s="58" customFormat="1" ht="16.5" customHeight="1" x14ac:dyDescent="0.25">
      <c r="A50" s="113" t="s">
        <v>135</v>
      </c>
      <c r="B50" s="38" t="str">
        <f>"ABC-"&amp;"0"&amp;ROW()-17</f>
        <v>ABC-033</v>
      </c>
      <c r="C50" s="112" t="s">
        <v>136</v>
      </c>
      <c r="D50" s="45" t="s">
        <v>394</v>
      </c>
      <c r="E50" s="56">
        <v>46280</v>
      </c>
      <c r="F50" s="56">
        <v>46305</v>
      </c>
      <c r="G50" s="40">
        <f t="shared" ref="G50:G64" si="2">F50-E50+1</f>
        <v>26</v>
      </c>
      <c r="H50" s="40" t="s">
        <v>22</v>
      </c>
      <c r="I50" s="41"/>
    </row>
    <row r="51" spans="1:9" s="58" customFormat="1" ht="16.5" customHeight="1" x14ac:dyDescent="0.25">
      <c r="A51" s="230" t="s">
        <v>382</v>
      </c>
      <c r="B51" s="45"/>
      <c r="C51" s="114" t="s">
        <v>383</v>
      </c>
      <c r="D51" s="45"/>
      <c r="E51" s="121">
        <f>MIN(E52:E54)</f>
        <v>46272</v>
      </c>
      <c r="F51" s="121">
        <f>MAX(F52:F54)</f>
        <v>46315</v>
      </c>
      <c r="G51" s="49">
        <f t="shared" si="2"/>
        <v>44</v>
      </c>
      <c r="H51" s="49" t="s">
        <v>31</v>
      </c>
      <c r="I51" s="45"/>
    </row>
    <row r="52" spans="1:9" ht="14.1" customHeight="1" x14ac:dyDescent="0.25">
      <c r="A52" s="231"/>
      <c r="B52" s="38" t="str">
        <f>"ABC-"&amp;"0"&amp;ROW()-18</f>
        <v>ABC-034</v>
      </c>
      <c r="C52" s="38" t="s">
        <v>137</v>
      </c>
      <c r="D52" s="45" t="s">
        <v>395</v>
      </c>
      <c r="E52" s="56">
        <v>46272</v>
      </c>
      <c r="F52" s="56">
        <v>46300</v>
      </c>
      <c r="G52" s="40">
        <f t="shared" si="2"/>
        <v>29</v>
      </c>
      <c r="H52" s="40" t="s">
        <v>22</v>
      </c>
      <c r="I52" s="39"/>
    </row>
    <row r="53" spans="1:9" ht="14.1" customHeight="1" x14ac:dyDescent="0.25">
      <c r="A53" s="231"/>
      <c r="B53" s="38" t="str">
        <f>"ABC-"&amp;"0"&amp;ROW()-18</f>
        <v>ABC-035</v>
      </c>
      <c r="C53" s="38" t="s">
        <v>403</v>
      </c>
      <c r="D53" s="115" t="s">
        <v>396</v>
      </c>
      <c r="E53" s="56">
        <v>46301</v>
      </c>
      <c r="F53" s="56">
        <v>46310</v>
      </c>
      <c r="G53" s="40">
        <f t="shared" si="2"/>
        <v>10</v>
      </c>
      <c r="H53" s="40" t="s">
        <v>31</v>
      </c>
      <c r="I53" s="39"/>
    </row>
    <row r="54" spans="1:9" ht="14.1" customHeight="1" x14ac:dyDescent="0.25">
      <c r="A54" s="232"/>
      <c r="B54" s="38" t="str">
        <f>"ABC-"&amp;"0"&amp;ROW()-18</f>
        <v>ABC-036</v>
      </c>
      <c r="C54" s="38" t="s">
        <v>138</v>
      </c>
      <c r="D54" s="45" t="s">
        <v>395</v>
      </c>
      <c r="E54" s="56">
        <v>46311</v>
      </c>
      <c r="F54" s="56">
        <v>46315</v>
      </c>
      <c r="G54" s="40">
        <f t="shared" si="2"/>
        <v>5</v>
      </c>
      <c r="H54" s="40" t="s">
        <v>31</v>
      </c>
      <c r="I54" s="39"/>
    </row>
    <row r="55" spans="1:9" ht="14.1" customHeight="1" x14ac:dyDescent="0.25">
      <c r="A55" s="230" t="s">
        <v>384</v>
      </c>
      <c r="B55" s="38"/>
      <c r="C55" s="114" t="s">
        <v>385</v>
      </c>
      <c r="D55" s="45"/>
      <c r="E55" s="121">
        <f>MIN(E56:E58)</f>
        <v>46272</v>
      </c>
      <c r="F55" s="121">
        <f>MAX(F56:F58)</f>
        <v>46320</v>
      </c>
      <c r="G55" s="49">
        <f t="shared" si="2"/>
        <v>49</v>
      </c>
      <c r="H55" s="49" t="s">
        <v>31</v>
      </c>
      <c r="I55" s="39"/>
    </row>
    <row r="56" spans="1:9" ht="14.1" customHeight="1" x14ac:dyDescent="0.25">
      <c r="A56" s="231"/>
      <c r="B56" s="38" t="str">
        <f>"ABC-"&amp;"0"&amp;ROW()-19</f>
        <v>ABC-037</v>
      </c>
      <c r="C56" s="38" t="s">
        <v>139</v>
      </c>
      <c r="D56" s="45" t="s">
        <v>395</v>
      </c>
      <c r="E56" s="56">
        <v>46272</v>
      </c>
      <c r="F56" s="56">
        <v>46300</v>
      </c>
      <c r="G56" s="40">
        <f t="shared" si="2"/>
        <v>29</v>
      </c>
      <c r="H56" s="40" t="s">
        <v>22</v>
      </c>
      <c r="I56" s="39"/>
    </row>
    <row r="57" spans="1:9" ht="14.1" customHeight="1" x14ac:dyDescent="0.25">
      <c r="A57" s="231"/>
      <c r="B57" s="38" t="str">
        <f>"ABC-"&amp;"0"&amp;ROW()-19</f>
        <v>ABC-038</v>
      </c>
      <c r="C57" s="38" t="s">
        <v>404</v>
      </c>
      <c r="D57" s="115" t="s">
        <v>396</v>
      </c>
      <c r="E57" s="56">
        <v>46301</v>
      </c>
      <c r="F57" s="56">
        <v>46310</v>
      </c>
      <c r="G57" s="40">
        <f t="shared" si="2"/>
        <v>10</v>
      </c>
      <c r="H57" s="40" t="s">
        <v>31</v>
      </c>
      <c r="I57" s="39"/>
    </row>
    <row r="58" spans="1:9" ht="14.1" customHeight="1" x14ac:dyDescent="0.25">
      <c r="A58" s="232"/>
      <c r="B58" s="38" t="str">
        <f>"ABC-"&amp;"0"&amp;ROW()-19</f>
        <v>ABC-039</v>
      </c>
      <c r="C58" s="38" t="s">
        <v>140</v>
      </c>
      <c r="D58" s="45" t="s">
        <v>395</v>
      </c>
      <c r="E58" s="56">
        <v>46316</v>
      </c>
      <c r="F58" s="56">
        <v>46320</v>
      </c>
      <c r="G58" s="40">
        <f t="shared" si="2"/>
        <v>5</v>
      </c>
      <c r="H58" s="40" t="s">
        <v>31</v>
      </c>
      <c r="I58" s="39"/>
    </row>
    <row r="59" spans="1:9" ht="14.1" customHeight="1" x14ac:dyDescent="0.25">
      <c r="A59" s="230" t="s">
        <v>386</v>
      </c>
      <c r="B59" s="38"/>
      <c r="C59" s="48" t="s">
        <v>387</v>
      </c>
      <c r="D59" s="45"/>
      <c r="E59" s="121">
        <f>MIN(E60:E62)</f>
        <v>46272</v>
      </c>
      <c r="F59" s="121">
        <f>MAX(F60:F62)</f>
        <v>46334</v>
      </c>
      <c r="G59" s="49">
        <f t="shared" si="2"/>
        <v>63</v>
      </c>
      <c r="H59" s="49" t="s">
        <v>31</v>
      </c>
      <c r="I59" s="39"/>
    </row>
    <row r="60" spans="1:9" ht="14.25" customHeight="1" x14ac:dyDescent="0.25">
      <c r="A60" s="231"/>
      <c r="B60" s="38" t="str">
        <f>"ABC-"&amp;"0"&amp;ROW()-20</f>
        <v>ABC-040</v>
      </c>
      <c r="C60" s="38" t="s">
        <v>141</v>
      </c>
      <c r="D60" s="45" t="s">
        <v>395</v>
      </c>
      <c r="E60" s="56">
        <v>46272</v>
      </c>
      <c r="F60" s="56">
        <v>46300</v>
      </c>
      <c r="G60" s="40">
        <f t="shared" si="2"/>
        <v>29</v>
      </c>
      <c r="H60" s="40" t="s">
        <v>31</v>
      </c>
      <c r="I60" s="39"/>
    </row>
    <row r="61" spans="1:9" ht="14.25" customHeight="1" x14ac:dyDescent="0.25">
      <c r="A61" s="231"/>
      <c r="B61" s="38" t="str">
        <f>"ABC-"&amp;"0"&amp;ROW()-20</f>
        <v>ABC-041</v>
      </c>
      <c r="C61" s="38" t="s">
        <v>405</v>
      </c>
      <c r="D61" s="115" t="s">
        <v>396</v>
      </c>
      <c r="E61" s="56">
        <v>46301</v>
      </c>
      <c r="F61" s="56">
        <v>46310</v>
      </c>
      <c r="G61" s="40">
        <f t="shared" si="2"/>
        <v>10</v>
      </c>
      <c r="H61" s="40" t="s">
        <v>31</v>
      </c>
      <c r="I61" s="39"/>
    </row>
    <row r="62" spans="1:9" s="101" customFormat="1" ht="14.1" customHeight="1" x14ac:dyDescent="0.25">
      <c r="A62" s="231"/>
      <c r="B62" s="38" t="str">
        <f>"ABC-"&amp;"0"&amp;ROW()-20</f>
        <v>ABC-042</v>
      </c>
      <c r="C62" s="38" t="s">
        <v>142</v>
      </c>
      <c r="D62" s="45" t="s">
        <v>395</v>
      </c>
      <c r="E62" s="56">
        <v>46321</v>
      </c>
      <c r="F62" s="56">
        <v>46334</v>
      </c>
      <c r="G62" s="40">
        <f t="shared" si="2"/>
        <v>14</v>
      </c>
      <c r="H62" s="40" t="s">
        <v>31</v>
      </c>
      <c r="I62" s="39"/>
    </row>
    <row r="63" spans="1:9" s="101" customFormat="1" ht="14.1" customHeight="1" x14ac:dyDescent="0.25">
      <c r="A63" s="231"/>
      <c r="B63" s="137" t="str">
        <f>"ABC-"&amp;"0"&amp;ROW()-20</f>
        <v>ABC-043</v>
      </c>
      <c r="C63" s="223" t="s">
        <v>143</v>
      </c>
      <c r="D63" s="224" t="s">
        <v>365</v>
      </c>
      <c r="E63" s="225">
        <v>46352</v>
      </c>
      <c r="F63" s="225">
        <v>46365</v>
      </c>
      <c r="G63" s="226">
        <f t="shared" si="2"/>
        <v>14</v>
      </c>
      <c r="H63" s="226" t="s">
        <v>31</v>
      </c>
      <c r="I63" s="39"/>
    </row>
    <row r="64" spans="1:9" s="101" customFormat="1" ht="14.1" customHeight="1" x14ac:dyDescent="0.25">
      <c r="A64" s="232"/>
      <c r="B64" s="137" t="str">
        <f>"ABC-"&amp;"0"&amp;ROW()-20</f>
        <v>ABC-044</v>
      </c>
      <c r="C64" s="227" t="s">
        <v>314</v>
      </c>
      <c r="D64" s="224" t="s">
        <v>397</v>
      </c>
      <c r="E64" s="138">
        <v>46366</v>
      </c>
      <c r="F64" s="138">
        <v>46368</v>
      </c>
      <c r="G64" s="140">
        <f t="shared" si="2"/>
        <v>3</v>
      </c>
      <c r="H64" s="140" t="s">
        <v>31</v>
      </c>
      <c r="I64" s="39"/>
    </row>
    <row r="65" spans="1:9" ht="14.25" customHeight="1" x14ac:dyDescent="0.25">
      <c r="A65" s="68"/>
      <c r="B65" s="69"/>
      <c r="C65" s="69"/>
      <c r="D65" s="47"/>
      <c r="E65" s="70"/>
      <c r="F65" s="70"/>
      <c r="G65" s="71"/>
      <c r="H65" s="71"/>
      <c r="I65" s="47"/>
    </row>
  </sheetData>
  <mergeCells count="13">
    <mergeCell ref="C9:I9"/>
    <mergeCell ref="A31:A32"/>
    <mergeCell ref="A37:A38"/>
    <mergeCell ref="A46:A47"/>
    <mergeCell ref="A55:A58"/>
    <mergeCell ref="A21:A28"/>
    <mergeCell ref="A59:A64"/>
    <mergeCell ref="A34:A35"/>
    <mergeCell ref="A39:A40"/>
    <mergeCell ref="A12:A19"/>
    <mergeCell ref="A44:A45"/>
    <mergeCell ref="A51:A54"/>
    <mergeCell ref="A41:A42"/>
  </mergeCells>
  <phoneticPr fontId="1" type="noConversion"/>
  <conditionalFormatting sqref="H1:H8 H44:H47">
    <cfRule type="cellIs" dxfId="21" priority="49" operator="equal">
      <formula>"Ongoing"</formula>
    </cfRule>
    <cfRule type="cellIs" dxfId="20" priority="48" operator="equal">
      <formula>"Completed"</formula>
    </cfRule>
    <cfRule type="cellIs" dxfId="19" priority="47" operator="equal">
      <formula>"Overdue"</formula>
    </cfRule>
  </conditionalFormatting>
  <conditionalFormatting sqref="H10:H32">
    <cfRule type="cellIs" dxfId="18" priority="4" operator="equal">
      <formula>"Overdue"</formula>
    </cfRule>
    <cfRule type="cellIs" dxfId="17" priority="5" operator="equal">
      <formula>"Completed"</formula>
    </cfRule>
    <cfRule type="cellIs" dxfId="16" priority="6" operator="equal">
      <formula>"Ongoing"</formula>
    </cfRule>
  </conditionalFormatting>
  <conditionalFormatting sqref="H34:H35 H37:H42">
    <cfRule type="cellIs" dxfId="15" priority="23" operator="equal">
      <formula>"Completed"</formula>
    </cfRule>
    <cfRule type="cellIs" dxfId="14" priority="24" operator="equal">
      <formula>"Ongoing"</formula>
    </cfRule>
    <cfRule type="cellIs" dxfId="13" priority="22" operator="equal">
      <formula>"Overdue"</formula>
    </cfRule>
  </conditionalFormatting>
  <conditionalFormatting sqref="H49:H147">
    <cfRule type="cellIs" dxfId="12" priority="2" operator="equal">
      <formula>"Completed"</formula>
    </cfRule>
    <cfRule type="cellIs" dxfId="11" priority="3" operator="equal">
      <formula>"Ongoing"</formula>
    </cfRule>
    <cfRule type="cellIs" dxfId="10" priority="1" operator="equal">
      <formula>"Overdue"</formula>
    </cfRule>
  </conditionalFormatting>
  <dataValidations count="2">
    <dataValidation type="list" allowBlank="1" showInputMessage="1" showErrorMessage="1" sqref="B8" xr:uid="{00000000-0002-0000-0100-000000000000}">
      <formula1>"Month,Week,Day"</formula1>
    </dataValidation>
    <dataValidation type="list" allowBlank="1" showInputMessage="1" showErrorMessage="1" sqref="H11:H201" xr:uid="{00000000-0002-0000-0100-000001000000}">
      <formula1>"To be start,Ongoing,Completed,Overdue"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33"/>
  <sheetViews>
    <sheetView zoomScale="85" zoomScaleNormal="85" workbookViewId="0">
      <pane ySplit="2" topLeftCell="A8" activePane="bottomLeft" state="frozen"/>
      <selection pane="bottomLeft" activeCell="E12" sqref="E12"/>
    </sheetView>
  </sheetViews>
  <sheetFormatPr defaultColWidth="9" defaultRowHeight="12.75" customHeight="1" x14ac:dyDescent="0.2"/>
  <cols>
    <col min="1" max="1" width="15.75" style="57" customWidth="1"/>
    <col min="2" max="2" width="44.125" style="57" customWidth="1"/>
    <col min="3" max="3" width="13.5" style="57" customWidth="1"/>
    <col min="4" max="4" width="10.875" style="57" hidden="1" customWidth="1"/>
    <col min="5" max="5" width="9.25" style="57" customWidth="1"/>
    <col min="6" max="6" width="12.875" style="57" customWidth="1"/>
    <col min="7" max="9" width="10.75" style="57" customWidth="1"/>
    <col min="10" max="10" width="30" style="57" customWidth="1"/>
    <col min="11" max="40" width="9" style="57"/>
  </cols>
  <sheetData>
    <row r="1" spans="1:10" s="59" customFormat="1" ht="24" customHeight="1" thickBot="1" x14ac:dyDescent="0.25">
      <c r="A1" s="255" t="s">
        <v>399</v>
      </c>
      <c r="B1" s="255"/>
      <c r="C1" s="255"/>
      <c r="D1" s="247"/>
      <c r="E1" s="247"/>
      <c r="F1" s="247"/>
      <c r="G1" s="93" t="s">
        <v>1</v>
      </c>
      <c r="H1" s="244" t="s">
        <v>388</v>
      </c>
      <c r="I1" s="244"/>
      <c r="J1" s="134" t="s">
        <v>3</v>
      </c>
    </row>
    <row r="2" spans="1:10" s="59" customFormat="1" ht="23.25" customHeight="1" thickBot="1" x14ac:dyDescent="0.25">
      <c r="A2" s="147"/>
      <c r="B2" s="148" t="s">
        <v>4</v>
      </c>
      <c r="C2" s="149" t="s">
        <v>5</v>
      </c>
      <c r="D2" s="150" t="s">
        <v>6</v>
      </c>
      <c r="E2" s="131" t="s">
        <v>7</v>
      </c>
      <c r="F2" s="131" t="s">
        <v>8</v>
      </c>
      <c r="G2" s="132" t="s">
        <v>9</v>
      </c>
      <c r="H2" s="133" t="s">
        <v>10</v>
      </c>
      <c r="I2" s="151" t="s">
        <v>11</v>
      </c>
      <c r="J2" s="152"/>
    </row>
    <row r="3" spans="1:10" ht="20.85" customHeight="1" thickBot="1" x14ac:dyDescent="0.25">
      <c r="A3" s="145" t="s">
        <v>316</v>
      </c>
      <c r="B3" s="153" t="s">
        <v>317</v>
      </c>
      <c r="C3" s="154">
        <v>46303</v>
      </c>
      <c r="D3" s="155"/>
      <c r="E3" s="156" t="s">
        <v>22</v>
      </c>
      <c r="F3" s="156" t="s">
        <v>16</v>
      </c>
      <c r="G3" s="157">
        <v>46294</v>
      </c>
      <c r="H3" s="157">
        <v>46294</v>
      </c>
      <c r="I3" s="158">
        <v>46303</v>
      </c>
      <c r="J3" s="159"/>
    </row>
    <row r="4" spans="1:10" ht="20.45" customHeight="1" x14ac:dyDescent="0.2">
      <c r="A4" s="256" t="s">
        <v>318</v>
      </c>
      <c r="B4" s="160" t="s">
        <v>319</v>
      </c>
      <c r="C4" s="161">
        <v>46264</v>
      </c>
      <c r="D4" s="162"/>
      <c r="E4" s="163" t="s">
        <v>15</v>
      </c>
      <c r="F4" s="164" t="s">
        <v>320</v>
      </c>
      <c r="G4" s="162" t="s">
        <v>321</v>
      </c>
      <c r="H4" s="165" t="s">
        <v>322</v>
      </c>
      <c r="I4" s="166" t="s">
        <v>320</v>
      </c>
      <c r="J4" s="167" t="s">
        <v>323</v>
      </c>
    </row>
    <row r="5" spans="1:10" ht="20.45" customHeight="1" thickBot="1" x14ac:dyDescent="0.25">
      <c r="A5" s="257"/>
      <c r="B5" s="168" t="s">
        <v>324</v>
      </c>
      <c r="C5" s="169">
        <v>46339</v>
      </c>
      <c r="D5" s="170"/>
      <c r="E5" s="171" t="s">
        <v>31</v>
      </c>
      <c r="F5" s="172" t="s">
        <v>322</v>
      </c>
      <c r="G5" s="162">
        <v>46318</v>
      </c>
      <c r="H5" s="173">
        <v>46318</v>
      </c>
      <c r="I5" s="174">
        <v>46339</v>
      </c>
      <c r="J5" s="175"/>
    </row>
    <row r="6" spans="1:10" ht="37.35" customHeight="1" thickBot="1" x14ac:dyDescent="0.25">
      <c r="A6" s="144" t="s">
        <v>325</v>
      </c>
      <c r="B6" s="176" t="s">
        <v>326</v>
      </c>
      <c r="C6" s="166">
        <v>46365</v>
      </c>
      <c r="D6" s="177"/>
      <c r="E6" s="163" t="s">
        <v>31</v>
      </c>
      <c r="F6" s="178" t="s">
        <v>322</v>
      </c>
      <c r="G6" s="166">
        <v>46351</v>
      </c>
      <c r="H6" s="166">
        <v>46351</v>
      </c>
      <c r="I6" s="166">
        <v>46365</v>
      </c>
      <c r="J6" s="179"/>
    </row>
    <row r="7" spans="1:10" ht="20.45" customHeight="1" x14ac:dyDescent="0.2">
      <c r="A7" s="258" t="s">
        <v>327</v>
      </c>
      <c r="B7" s="180" t="s">
        <v>328</v>
      </c>
      <c r="C7" s="166">
        <v>46312</v>
      </c>
      <c r="D7" s="181"/>
      <c r="E7" s="164" t="s">
        <v>31</v>
      </c>
      <c r="F7" s="164" t="s">
        <v>16</v>
      </c>
      <c r="G7" s="182">
        <v>46305</v>
      </c>
      <c r="H7" s="182">
        <v>46305</v>
      </c>
      <c r="I7" s="166" t="s">
        <v>320</v>
      </c>
      <c r="J7" s="248" t="s">
        <v>389</v>
      </c>
    </row>
    <row r="8" spans="1:10" ht="20.45" customHeight="1" x14ac:dyDescent="0.2">
      <c r="A8" s="251"/>
      <c r="B8" s="183" t="s">
        <v>329</v>
      </c>
      <c r="C8" s="174">
        <v>46314</v>
      </c>
      <c r="D8" s="162"/>
      <c r="E8" s="184" t="s">
        <v>31</v>
      </c>
      <c r="F8" s="184" t="s">
        <v>16</v>
      </c>
      <c r="G8" s="185">
        <v>46307</v>
      </c>
      <c r="H8" s="185">
        <v>46307</v>
      </c>
      <c r="I8" s="186" t="s">
        <v>320</v>
      </c>
      <c r="J8" s="249"/>
    </row>
    <row r="9" spans="1:10" ht="20.45" customHeight="1" x14ac:dyDescent="0.2">
      <c r="A9" s="251"/>
      <c r="B9" s="183" t="s">
        <v>330</v>
      </c>
      <c r="C9" s="174">
        <v>46313</v>
      </c>
      <c r="D9" s="162"/>
      <c r="E9" s="171" t="s">
        <v>31</v>
      </c>
      <c r="F9" s="187" t="s">
        <v>16</v>
      </c>
      <c r="G9" s="185">
        <v>46304</v>
      </c>
      <c r="H9" s="185">
        <v>46304</v>
      </c>
      <c r="I9" s="174" t="s">
        <v>320</v>
      </c>
      <c r="J9" s="249"/>
    </row>
    <row r="10" spans="1:10" ht="20.45" customHeight="1" x14ac:dyDescent="0.2">
      <c r="A10" s="251"/>
      <c r="B10" s="183" t="s">
        <v>331</v>
      </c>
      <c r="C10" s="174">
        <v>46311</v>
      </c>
      <c r="D10" s="162"/>
      <c r="E10" s="171" t="s">
        <v>31</v>
      </c>
      <c r="F10" s="184" t="s">
        <v>16</v>
      </c>
      <c r="G10" s="185">
        <v>46304</v>
      </c>
      <c r="H10" s="185">
        <v>46304</v>
      </c>
      <c r="I10" s="188" t="s">
        <v>320</v>
      </c>
      <c r="J10" s="249"/>
    </row>
    <row r="11" spans="1:10" ht="20.45" customHeight="1" x14ac:dyDescent="0.2">
      <c r="A11" s="251"/>
      <c r="B11" s="141" t="s">
        <v>332</v>
      </c>
      <c r="C11" s="185">
        <v>46315</v>
      </c>
      <c r="D11" s="162"/>
      <c r="E11" s="171" t="s">
        <v>31</v>
      </c>
      <c r="F11" s="184" t="s">
        <v>322</v>
      </c>
      <c r="G11" s="185">
        <v>46308</v>
      </c>
      <c r="H11" s="185">
        <v>46308</v>
      </c>
      <c r="I11" s="185" t="s">
        <v>320</v>
      </c>
      <c r="J11" s="249"/>
    </row>
    <row r="12" spans="1:10" ht="20.45" customHeight="1" thickBot="1" x14ac:dyDescent="0.25">
      <c r="A12" s="251"/>
      <c r="B12" s="143" t="s">
        <v>333</v>
      </c>
      <c r="C12" s="189">
        <v>46310</v>
      </c>
      <c r="D12" s="190"/>
      <c r="E12" s="191" t="s">
        <v>31</v>
      </c>
      <c r="F12" s="191" t="s">
        <v>16</v>
      </c>
      <c r="G12" s="192">
        <v>46303</v>
      </c>
      <c r="H12" s="192">
        <v>46303</v>
      </c>
      <c r="I12" s="193" t="s">
        <v>320</v>
      </c>
      <c r="J12" s="250"/>
    </row>
    <row r="13" spans="1:10" ht="20.45" customHeight="1" x14ac:dyDescent="0.2">
      <c r="A13" s="251"/>
      <c r="B13" s="180" t="s">
        <v>334</v>
      </c>
      <c r="C13" s="174">
        <v>46342</v>
      </c>
      <c r="D13" s="194" t="s">
        <v>56</v>
      </c>
      <c r="E13" s="195" t="s">
        <v>31</v>
      </c>
      <c r="F13" s="196" t="s">
        <v>16</v>
      </c>
      <c r="G13" s="196">
        <v>46328</v>
      </c>
      <c r="H13" s="196">
        <v>46328</v>
      </c>
      <c r="I13" s="196">
        <v>46342</v>
      </c>
      <c r="J13" s="197"/>
    </row>
    <row r="14" spans="1:10" ht="20.45" customHeight="1" x14ac:dyDescent="0.2">
      <c r="A14" s="251"/>
      <c r="B14" s="183" t="s">
        <v>335</v>
      </c>
      <c r="C14" s="174">
        <v>46342</v>
      </c>
      <c r="D14" s="198" t="s">
        <v>56</v>
      </c>
      <c r="E14" s="199" t="s">
        <v>31</v>
      </c>
      <c r="F14" s="185" t="s">
        <v>16</v>
      </c>
      <c r="G14" s="196">
        <v>46330</v>
      </c>
      <c r="H14" s="196">
        <v>46330</v>
      </c>
      <c r="I14" s="196">
        <v>46342</v>
      </c>
      <c r="J14" s="200"/>
    </row>
    <row r="15" spans="1:10" ht="20.45" customHeight="1" x14ac:dyDescent="0.2">
      <c r="A15" s="251"/>
      <c r="B15" s="183" t="s">
        <v>336</v>
      </c>
      <c r="C15" s="174">
        <v>46343</v>
      </c>
      <c r="D15" s="198" t="s">
        <v>56</v>
      </c>
      <c r="E15" s="199" t="s">
        <v>31</v>
      </c>
      <c r="F15" s="185" t="s">
        <v>16</v>
      </c>
      <c r="G15" s="196">
        <v>46331</v>
      </c>
      <c r="H15" s="196">
        <v>46331</v>
      </c>
      <c r="I15" s="196">
        <v>46343</v>
      </c>
      <c r="J15" s="200"/>
    </row>
    <row r="16" spans="1:10" ht="20.45" customHeight="1" x14ac:dyDescent="0.2">
      <c r="A16" s="251"/>
      <c r="B16" s="183" t="s">
        <v>337</v>
      </c>
      <c r="C16" s="174">
        <v>46337</v>
      </c>
      <c r="D16" s="198" t="s">
        <v>56</v>
      </c>
      <c r="E16" s="199" t="s">
        <v>31</v>
      </c>
      <c r="F16" s="185" t="s">
        <v>16</v>
      </c>
      <c r="G16" s="196">
        <v>46325</v>
      </c>
      <c r="H16" s="196">
        <v>46325</v>
      </c>
      <c r="I16" s="196">
        <v>46337</v>
      </c>
      <c r="J16" s="200"/>
    </row>
    <row r="17" spans="1:10" ht="20.45" customHeight="1" x14ac:dyDescent="0.2">
      <c r="A17" s="251"/>
      <c r="B17" s="183" t="s">
        <v>338</v>
      </c>
      <c r="C17" s="196">
        <v>46334</v>
      </c>
      <c r="D17" s="201"/>
      <c r="E17" s="199" t="s">
        <v>31</v>
      </c>
      <c r="F17" s="185" t="s">
        <v>16</v>
      </c>
      <c r="G17" s="196">
        <v>46323</v>
      </c>
      <c r="H17" s="196">
        <v>46323</v>
      </c>
      <c r="I17" s="196">
        <v>46334</v>
      </c>
      <c r="J17" s="200"/>
    </row>
    <row r="18" spans="1:10" ht="20.45" customHeight="1" thickBot="1" x14ac:dyDescent="0.25">
      <c r="A18" s="252"/>
      <c r="B18" s="202" t="s">
        <v>339</v>
      </c>
      <c r="C18" s="189">
        <v>46344</v>
      </c>
      <c r="D18" s="203" t="s">
        <v>21</v>
      </c>
      <c r="E18" s="204" t="s">
        <v>31</v>
      </c>
      <c r="F18" s="192" t="s">
        <v>16</v>
      </c>
      <c r="G18" s="192">
        <v>46332</v>
      </c>
      <c r="H18" s="192">
        <v>46332</v>
      </c>
      <c r="I18" s="196">
        <v>46344</v>
      </c>
      <c r="J18" s="205"/>
    </row>
    <row r="19" spans="1:10" ht="20.45" customHeight="1" x14ac:dyDescent="0.2">
      <c r="A19" s="251" t="s">
        <v>340</v>
      </c>
      <c r="B19" s="180" t="s">
        <v>341</v>
      </c>
      <c r="C19" s="166">
        <v>46312</v>
      </c>
      <c r="D19" s="181"/>
      <c r="E19" s="164" t="s">
        <v>31</v>
      </c>
      <c r="F19" s="164" t="s">
        <v>16</v>
      </c>
      <c r="G19" s="182">
        <v>46305</v>
      </c>
      <c r="H19" s="182">
        <v>46305</v>
      </c>
      <c r="I19" s="166">
        <v>46312</v>
      </c>
      <c r="J19" s="206"/>
    </row>
    <row r="20" spans="1:10" ht="20.45" customHeight="1" x14ac:dyDescent="0.2">
      <c r="A20" s="251"/>
      <c r="B20" s="141" t="s">
        <v>342</v>
      </c>
      <c r="C20" s="174">
        <v>46314</v>
      </c>
      <c r="D20" s="162"/>
      <c r="E20" s="184" t="s">
        <v>31</v>
      </c>
      <c r="F20" s="184" t="s">
        <v>16</v>
      </c>
      <c r="G20" s="185">
        <v>46307</v>
      </c>
      <c r="H20" s="185">
        <v>46307</v>
      </c>
      <c r="I20" s="186">
        <v>46314</v>
      </c>
      <c r="J20" s="207"/>
    </row>
    <row r="21" spans="1:10" ht="20.45" customHeight="1" x14ac:dyDescent="0.2">
      <c r="A21" s="251"/>
      <c r="B21" s="141" t="s">
        <v>343</v>
      </c>
      <c r="C21" s="174">
        <v>46313</v>
      </c>
      <c r="D21" s="162"/>
      <c r="E21" s="171" t="s">
        <v>31</v>
      </c>
      <c r="F21" s="187" t="s">
        <v>16</v>
      </c>
      <c r="G21" s="185">
        <v>46304</v>
      </c>
      <c r="H21" s="185">
        <v>46304</v>
      </c>
      <c r="I21" s="174">
        <v>46313</v>
      </c>
      <c r="J21" s="208"/>
    </row>
    <row r="22" spans="1:10" ht="20.45" customHeight="1" x14ac:dyDescent="0.2">
      <c r="A22" s="251"/>
      <c r="B22" s="141" t="s">
        <v>344</v>
      </c>
      <c r="C22" s="174">
        <v>46311</v>
      </c>
      <c r="D22" s="162"/>
      <c r="E22" s="171" t="s">
        <v>31</v>
      </c>
      <c r="F22" s="184" t="s">
        <v>16</v>
      </c>
      <c r="G22" s="185">
        <v>46304</v>
      </c>
      <c r="H22" s="185">
        <v>46304</v>
      </c>
      <c r="I22" s="188">
        <v>46311</v>
      </c>
      <c r="J22" s="206"/>
    </row>
    <row r="23" spans="1:10" ht="20.45" customHeight="1" x14ac:dyDescent="0.2">
      <c r="A23" s="251"/>
      <c r="B23" s="141" t="s">
        <v>345</v>
      </c>
      <c r="C23" s="185">
        <v>46315</v>
      </c>
      <c r="D23" s="162"/>
      <c r="E23" s="171" t="s">
        <v>31</v>
      </c>
      <c r="F23" s="184" t="s">
        <v>322</v>
      </c>
      <c r="G23" s="185">
        <v>46308</v>
      </c>
      <c r="H23" s="185">
        <v>46308</v>
      </c>
      <c r="I23" s="185">
        <v>46315</v>
      </c>
      <c r="J23" s="206"/>
    </row>
    <row r="24" spans="1:10" ht="20.45" customHeight="1" thickBot="1" x14ac:dyDescent="0.25">
      <c r="A24" s="251"/>
      <c r="B24" s="142" t="s">
        <v>346</v>
      </c>
      <c r="C24" s="189">
        <v>46310</v>
      </c>
      <c r="D24" s="190"/>
      <c r="E24" s="191" t="s">
        <v>31</v>
      </c>
      <c r="F24" s="191" t="s">
        <v>16</v>
      </c>
      <c r="G24" s="192">
        <v>46303</v>
      </c>
      <c r="H24" s="192">
        <v>46303</v>
      </c>
      <c r="I24" s="193">
        <v>46310</v>
      </c>
      <c r="J24" s="209"/>
    </row>
    <row r="25" spans="1:10" ht="20.45" customHeight="1" x14ac:dyDescent="0.2">
      <c r="A25" s="251"/>
      <c r="B25" s="210" t="s">
        <v>347</v>
      </c>
      <c r="C25" s="174">
        <v>46342</v>
      </c>
      <c r="D25" s="194" t="s">
        <v>56</v>
      </c>
      <c r="E25" s="195" t="s">
        <v>31</v>
      </c>
      <c r="F25" s="196" t="s">
        <v>16</v>
      </c>
      <c r="G25" s="196">
        <v>46328</v>
      </c>
      <c r="H25" s="196">
        <v>46328</v>
      </c>
      <c r="I25" s="196">
        <v>46342</v>
      </c>
      <c r="J25" s="211"/>
    </row>
    <row r="26" spans="1:10" ht="20.45" customHeight="1" x14ac:dyDescent="0.2">
      <c r="A26" s="251"/>
      <c r="B26" s="212" t="s">
        <v>348</v>
      </c>
      <c r="C26" s="174">
        <v>46342</v>
      </c>
      <c r="D26" s="198" t="s">
        <v>56</v>
      </c>
      <c r="E26" s="199" t="s">
        <v>31</v>
      </c>
      <c r="F26" s="185" t="s">
        <v>16</v>
      </c>
      <c r="G26" s="196">
        <v>46330</v>
      </c>
      <c r="H26" s="196">
        <v>46330</v>
      </c>
      <c r="I26" s="196">
        <v>46342</v>
      </c>
      <c r="J26" s="213"/>
    </row>
    <row r="27" spans="1:10" ht="20.45" customHeight="1" x14ac:dyDescent="0.2">
      <c r="A27" s="251"/>
      <c r="B27" s="212" t="s">
        <v>349</v>
      </c>
      <c r="C27" s="174">
        <v>46343</v>
      </c>
      <c r="D27" s="198" t="s">
        <v>56</v>
      </c>
      <c r="E27" s="199" t="s">
        <v>31</v>
      </c>
      <c r="F27" s="185" t="s">
        <v>16</v>
      </c>
      <c r="G27" s="196">
        <v>46331</v>
      </c>
      <c r="H27" s="196">
        <v>46331</v>
      </c>
      <c r="I27" s="196">
        <v>46343</v>
      </c>
      <c r="J27" s="214"/>
    </row>
    <row r="28" spans="1:10" ht="20.45" customHeight="1" x14ac:dyDescent="0.2">
      <c r="A28" s="251"/>
      <c r="B28" s="212" t="s">
        <v>350</v>
      </c>
      <c r="C28" s="174">
        <v>46337</v>
      </c>
      <c r="D28" s="198" t="s">
        <v>56</v>
      </c>
      <c r="E28" s="199" t="s">
        <v>31</v>
      </c>
      <c r="F28" s="185" t="s">
        <v>16</v>
      </c>
      <c r="G28" s="196">
        <v>46325</v>
      </c>
      <c r="H28" s="196">
        <v>46325</v>
      </c>
      <c r="I28" s="196">
        <v>46337</v>
      </c>
      <c r="J28" s="215"/>
    </row>
    <row r="29" spans="1:10" ht="20.45" customHeight="1" x14ac:dyDescent="0.2">
      <c r="A29" s="251"/>
      <c r="B29" s="141" t="s">
        <v>351</v>
      </c>
      <c r="C29" s="196">
        <v>46334</v>
      </c>
      <c r="D29" s="201"/>
      <c r="E29" s="199" t="s">
        <v>31</v>
      </c>
      <c r="F29" s="185" t="s">
        <v>16</v>
      </c>
      <c r="G29" s="196">
        <v>46323</v>
      </c>
      <c r="H29" s="196">
        <v>46323</v>
      </c>
      <c r="I29" s="196">
        <v>46334</v>
      </c>
      <c r="J29" s="216"/>
    </row>
    <row r="30" spans="1:10" ht="20.45" customHeight="1" thickBot="1" x14ac:dyDescent="0.25">
      <c r="A30" s="252"/>
      <c r="B30" s="217" t="s">
        <v>352</v>
      </c>
      <c r="C30" s="189">
        <v>46344</v>
      </c>
      <c r="D30" s="203" t="s">
        <v>21</v>
      </c>
      <c r="E30" s="204" t="s">
        <v>31</v>
      </c>
      <c r="F30" s="192" t="s">
        <v>16</v>
      </c>
      <c r="G30" s="192">
        <v>46332</v>
      </c>
      <c r="H30" s="192">
        <v>46332</v>
      </c>
      <c r="I30" s="196">
        <v>46344</v>
      </c>
      <c r="J30" s="218"/>
    </row>
    <row r="31" spans="1:10" ht="22.5" customHeight="1" x14ac:dyDescent="0.2">
      <c r="A31" s="253" t="s">
        <v>353</v>
      </c>
      <c r="B31" s="160" t="s">
        <v>354</v>
      </c>
      <c r="C31" s="162">
        <v>46393</v>
      </c>
      <c r="D31" s="162"/>
      <c r="E31" s="163" t="s">
        <v>31</v>
      </c>
      <c r="F31" s="164" t="s">
        <v>322</v>
      </c>
      <c r="G31" s="182">
        <v>46327</v>
      </c>
      <c r="H31" s="196">
        <v>46739</v>
      </c>
      <c r="I31" s="182">
        <v>46393</v>
      </c>
      <c r="J31" s="200"/>
    </row>
    <row r="32" spans="1:10" ht="22.5" customHeight="1" thickBot="1" x14ac:dyDescent="0.25">
      <c r="A32" s="254"/>
      <c r="B32" s="168" t="s">
        <v>355</v>
      </c>
      <c r="C32" s="219" t="s">
        <v>356</v>
      </c>
      <c r="D32" s="170"/>
      <c r="E32" s="220" t="s">
        <v>31</v>
      </c>
      <c r="F32" s="221" t="s">
        <v>322</v>
      </c>
      <c r="G32" s="174" t="s">
        <v>356</v>
      </c>
      <c r="H32" s="174" t="s">
        <v>356</v>
      </c>
      <c r="I32" s="192" t="s">
        <v>356</v>
      </c>
      <c r="J32" s="222"/>
    </row>
    <row r="33" spans="7:8" ht="12.75" customHeight="1" x14ac:dyDescent="0.2">
      <c r="G33" s="146"/>
      <c r="H33" s="146"/>
    </row>
  </sheetData>
  <mergeCells count="7">
    <mergeCell ref="J7:J12"/>
    <mergeCell ref="A19:A30"/>
    <mergeCell ref="A31:A32"/>
    <mergeCell ref="A1:F1"/>
    <mergeCell ref="H1:I1"/>
    <mergeCell ref="A4:A5"/>
    <mergeCell ref="A7:A18"/>
  </mergeCells>
  <phoneticPr fontId="1" type="noConversion"/>
  <dataValidations count="1">
    <dataValidation type="list" allowBlank="1" showInputMessage="1" showErrorMessage="1" sqref="F33:F187 E3:E32" xr:uid="{00000000-0002-0000-0200-000000000000}">
      <formula1>"To be start,Ongoing,Completed"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outlinePr summaryBelow="0" summaryRight="0"/>
  </sheetPr>
  <dimension ref="A1:Q21"/>
  <sheetViews>
    <sheetView zoomScale="85" zoomScaleNormal="85" workbookViewId="0"/>
  </sheetViews>
  <sheetFormatPr defaultColWidth="8.875" defaultRowHeight="14.25" customHeight="1" x14ac:dyDescent="0.25"/>
  <cols>
    <col min="2" max="2" width="70.125" style="101" customWidth="1"/>
    <col min="4" max="5" width="11.75" style="101" customWidth="1"/>
    <col min="6" max="6" width="21.5" style="101" customWidth="1"/>
  </cols>
  <sheetData>
    <row r="1" spans="1:17" ht="14.25" customHeight="1" x14ac:dyDescent="0.25">
      <c r="A1" s="4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3" t="s">
        <v>149</v>
      </c>
      <c r="G1" s="3" t="s">
        <v>150</v>
      </c>
    </row>
    <row r="2" spans="1:17" ht="14.25" customHeight="1" x14ac:dyDescent="0.25">
      <c r="A2" s="74">
        <v>1</v>
      </c>
      <c r="B2" s="101" t="s">
        <v>151</v>
      </c>
      <c r="C2" s="101" t="s">
        <v>152</v>
      </c>
      <c r="D2" s="75">
        <v>44834</v>
      </c>
      <c r="E2" s="75">
        <v>44846</v>
      </c>
      <c r="F2" s="101" t="s">
        <v>153</v>
      </c>
      <c r="G2" s="101" t="s">
        <v>154</v>
      </c>
    </row>
    <row r="3" spans="1:17" ht="14.25" customHeight="1" x14ac:dyDescent="0.25">
      <c r="A3" s="74">
        <v>2</v>
      </c>
      <c r="B3" s="101" t="s">
        <v>155</v>
      </c>
      <c r="C3" s="101" t="s">
        <v>152</v>
      </c>
      <c r="D3" s="75">
        <v>44839</v>
      </c>
      <c r="E3" s="75">
        <v>44857</v>
      </c>
      <c r="F3" s="101" t="s">
        <v>156</v>
      </c>
      <c r="G3" s="101" t="s">
        <v>157</v>
      </c>
    </row>
    <row r="4" spans="1:17" ht="14.25" customHeight="1" x14ac:dyDescent="0.25">
      <c r="A4" s="74">
        <v>3</v>
      </c>
      <c r="B4" s="101" t="s">
        <v>158</v>
      </c>
      <c r="C4" s="101" t="s">
        <v>152</v>
      </c>
      <c r="D4" s="75">
        <v>44839</v>
      </c>
      <c r="E4" s="75">
        <v>44849</v>
      </c>
      <c r="F4" s="101" t="s">
        <v>159</v>
      </c>
      <c r="G4" s="101" t="s">
        <v>160</v>
      </c>
    </row>
    <row r="5" spans="1:17" s="101" customFormat="1" ht="14.25" customHeight="1" x14ac:dyDescent="0.25">
      <c r="A5" s="74">
        <v>4</v>
      </c>
      <c r="B5" s="101" t="s">
        <v>161</v>
      </c>
      <c r="C5" s="101" t="s">
        <v>152</v>
      </c>
      <c r="D5" s="75">
        <v>44839</v>
      </c>
      <c r="E5" s="75">
        <v>44849</v>
      </c>
      <c r="F5" s="101" t="s">
        <v>162</v>
      </c>
    </row>
    <row r="6" spans="1:17" ht="14.25" customHeight="1" x14ac:dyDescent="0.25">
      <c r="A6" s="74">
        <v>5</v>
      </c>
      <c r="B6" s="101" t="s">
        <v>163</v>
      </c>
      <c r="C6" s="101" t="s">
        <v>152</v>
      </c>
      <c r="D6" s="75">
        <v>44839</v>
      </c>
      <c r="E6" s="75">
        <v>44864</v>
      </c>
      <c r="F6" s="101" t="s">
        <v>164</v>
      </c>
    </row>
    <row r="7" spans="1:17" ht="14.25" customHeight="1" x14ac:dyDescent="0.25">
      <c r="A7" s="74">
        <v>6</v>
      </c>
      <c r="B7" s="101" t="s">
        <v>165</v>
      </c>
      <c r="C7" s="101" t="s">
        <v>152</v>
      </c>
      <c r="D7" s="75">
        <v>44839</v>
      </c>
      <c r="E7" s="75">
        <v>44854</v>
      </c>
      <c r="F7" s="101" t="s">
        <v>166</v>
      </c>
      <c r="G7" s="101" t="s">
        <v>167</v>
      </c>
    </row>
    <row r="8" spans="1:17" ht="14.25" customHeight="1" x14ac:dyDescent="0.25">
      <c r="A8" s="74">
        <v>7</v>
      </c>
      <c r="B8" s="101" t="s">
        <v>168</v>
      </c>
      <c r="C8" s="101" t="s">
        <v>152</v>
      </c>
      <c r="D8" s="75">
        <v>44839</v>
      </c>
      <c r="E8" s="75">
        <v>44846</v>
      </c>
      <c r="F8" s="75" t="s">
        <v>169</v>
      </c>
      <c r="G8" s="101" t="s">
        <v>170</v>
      </c>
    </row>
    <row r="9" spans="1:17" ht="17.100000000000001" customHeight="1" x14ac:dyDescent="0.25">
      <c r="A9" s="74">
        <v>8</v>
      </c>
      <c r="B9" s="101" t="s">
        <v>171</v>
      </c>
      <c r="C9" s="101" t="s">
        <v>152</v>
      </c>
      <c r="D9" s="75">
        <v>44846</v>
      </c>
      <c r="E9" s="75">
        <v>44854</v>
      </c>
      <c r="F9" s="101" t="s">
        <v>172</v>
      </c>
      <c r="G9" s="259" t="s">
        <v>173</v>
      </c>
      <c r="H9" s="259"/>
      <c r="I9" s="259"/>
      <c r="J9" s="259"/>
      <c r="K9" s="259"/>
      <c r="L9" s="259"/>
      <c r="M9" s="259"/>
      <c r="N9" s="259"/>
      <c r="O9" s="259"/>
      <c r="P9" s="259"/>
      <c r="Q9" s="259"/>
    </row>
    <row r="10" spans="1:17" ht="14.25" customHeight="1" x14ac:dyDescent="0.25">
      <c r="A10" s="74">
        <v>9</v>
      </c>
      <c r="B10" s="101" t="s">
        <v>174</v>
      </c>
      <c r="C10" s="101" t="s">
        <v>152</v>
      </c>
      <c r="D10" s="75">
        <v>44846</v>
      </c>
      <c r="E10" s="75">
        <v>44854</v>
      </c>
      <c r="G10" s="101" t="s">
        <v>175</v>
      </c>
    </row>
    <row r="11" spans="1:17" s="101" customFormat="1" ht="14.25" customHeight="1" x14ac:dyDescent="0.25">
      <c r="A11" s="74">
        <v>11</v>
      </c>
      <c r="B11" s="101" t="s">
        <v>176</v>
      </c>
      <c r="C11" s="101" t="s">
        <v>152</v>
      </c>
      <c r="D11" s="75">
        <v>44846</v>
      </c>
      <c r="E11" s="75">
        <v>44858</v>
      </c>
      <c r="F11" s="101" t="s">
        <v>177</v>
      </c>
      <c r="G11" s="101" t="s">
        <v>178</v>
      </c>
    </row>
    <row r="12" spans="1:17" ht="12.6" customHeight="1" x14ac:dyDescent="0.25">
      <c r="A12" s="74">
        <v>13</v>
      </c>
      <c r="B12" s="101" t="s">
        <v>179</v>
      </c>
      <c r="C12" s="101" t="s">
        <v>152</v>
      </c>
      <c r="D12" s="75">
        <v>44846</v>
      </c>
      <c r="E12" s="75">
        <v>44866</v>
      </c>
      <c r="F12" s="97" t="s">
        <v>180</v>
      </c>
      <c r="G12" s="130" t="s">
        <v>181</v>
      </c>
      <c r="H12" s="1"/>
      <c r="I12" s="101" t="s">
        <v>182</v>
      </c>
    </row>
    <row r="13" spans="1:17" ht="14.25" customHeight="1" x14ac:dyDescent="0.25">
      <c r="A13" s="74">
        <v>14</v>
      </c>
      <c r="B13" s="101" t="s">
        <v>183</v>
      </c>
      <c r="C13" s="101" t="s">
        <v>152</v>
      </c>
      <c r="D13" s="75">
        <v>44846</v>
      </c>
      <c r="E13" s="75">
        <v>44867</v>
      </c>
      <c r="F13" s="101" t="s">
        <v>156</v>
      </c>
      <c r="G13" s="101" t="s">
        <v>184</v>
      </c>
      <c r="H13" s="101"/>
    </row>
    <row r="14" spans="1:17" ht="14.25" customHeight="1" x14ac:dyDescent="0.25">
      <c r="A14" s="74">
        <v>10</v>
      </c>
      <c r="B14" s="101" t="s">
        <v>185</v>
      </c>
      <c r="C14" s="101" t="s">
        <v>152</v>
      </c>
      <c r="D14" s="75">
        <v>44854</v>
      </c>
      <c r="E14" s="75">
        <v>44854</v>
      </c>
      <c r="F14" s="75" t="s">
        <v>156</v>
      </c>
      <c r="G14" s="101" t="s">
        <v>186</v>
      </c>
    </row>
    <row r="15" spans="1:17" ht="14.25" customHeight="1" x14ac:dyDescent="0.25">
      <c r="A15" s="74">
        <v>12</v>
      </c>
      <c r="B15" s="101" t="s">
        <v>187</v>
      </c>
      <c r="C15" s="101" t="s">
        <v>152</v>
      </c>
      <c r="D15" s="75">
        <v>44860</v>
      </c>
      <c r="E15" s="75">
        <v>44860</v>
      </c>
      <c r="F15" s="101" t="s">
        <v>172</v>
      </c>
      <c r="G15" s="101" t="s">
        <v>188</v>
      </c>
    </row>
    <row r="16" spans="1:17" ht="14.25" customHeight="1" x14ac:dyDescent="0.25">
      <c r="A16" s="74">
        <v>15</v>
      </c>
      <c r="B16" s="101" t="s">
        <v>189</v>
      </c>
      <c r="C16" s="101" t="s">
        <v>152</v>
      </c>
      <c r="D16" s="75">
        <v>44860</v>
      </c>
      <c r="E16" s="75">
        <v>44861</v>
      </c>
      <c r="F16" s="101" t="s">
        <v>190</v>
      </c>
      <c r="G16" s="101" t="s">
        <v>191</v>
      </c>
    </row>
    <row r="17" spans="1:7" ht="14.25" customHeight="1" x14ac:dyDescent="0.25">
      <c r="A17" s="74">
        <v>17</v>
      </c>
      <c r="B17" s="101" t="s">
        <v>192</v>
      </c>
      <c r="C17" s="101" t="s">
        <v>152</v>
      </c>
      <c r="D17" s="75">
        <v>44860</v>
      </c>
      <c r="E17" s="75">
        <v>44860</v>
      </c>
      <c r="F17" s="101" t="s">
        <v>193</v>
      </c>
      <c r="G17" s="101" t="s">
        <v>194</v>
      </c>
    </row>
    <row r="18" spans="1:7" ht="14.25" customHeight="1" x14ac:dyDescent="0.25">
      <c r="A18" s="74">
        <v>18</v>
      </c>
      <c r="B18" s="101" t="s">
        <v>195</v>
      </c>
      <c r="C18" s="101" t="s">
        <v>152</v>
      </c>
      <c r="D18" s="75">
        <v>44860</v>
      </c>
      <c r="E18" s="75">
        <v>44862</v>
      </c>
      <c r="F18" s="101" t="s">
        <v>196</v>
      </c>
      <c r="G18" s="101" t="s">
        <v>197</v>
      </c>
    </row>
    <row r="19" spans="1:7" ht="14.25" customHeight="1" x14ac:dyDescent="0.25">
      <c r="A19" s="74">
        <v>16</v>
      </c>
      <c r="B19" s="101" t="s">
        <v>198</v>
      </c>
      <c r="C19" s="101" t="s">
        <v>152</v>
      </c>
      <c r="D19" s="75">
        <v>44867</v>
      </c>
      <c r="E19" s="75">
        <v>44867</v>
      </c>
      <c r="F19" s="101" t="s">
        <v>190</v>
      </c>
      <c r="G19" s="101" t="s">
        <v>199</v>
      </c>
    </row>
    <row r="20" spans="1:7" ht="14.25" customHeight="1" x14ac:dyDescent="0.25">
      <c r="A20" s="74">
        <v>5</v>
      </c>
      <c r="B20" s="101" t="s">
        <v>200</v>
      </c>
      <c r="C20" s="101" t="s">
        <v>152</v>
      </c>
      <c r="D20" s="75">
        <v>44846</v>
      </c>
      <c r="E20" s="128">
        <v>44874</v>
      </c>
      <c r="F20" s="101" t="s">
        <v>201</v>
      </c>
      <c r="G20" s="101" t="s">
        <v>202</v>
      </c>
    </row>
    <row r="21" spans="1:7" ht="14.25" customHeight="1" x14ac:dyDescent="0.25">
      <c r="A21" s="74">
        <v>7</v>
      </c>
      <c r="B21" s="101" t="s">
        <v>203</v>
      </c>
      <c r="C21" s="101" t="s">
        <v>152</v>
      </c>
      <c r="D21" s="75">
        <v>44846</v>
      </c>
      <c r="E21" s="128">
        <v>44860</v>
      </c>
      <c r="F21" s="101" t="s">
        <v>204</v>
      </c>
      <c r="G21" s="101" t="s">
        <v>205</v>
      </c>
    </row>
  </sheetData>
  <mergeCells count="1">
    <mergeCell ref="G9:Q9"/>
  </mergeCells>
  <phoneticPr fontId="1" type="noConversion"/>
  <conditionalFormatting sqref="C1:C200">
    <cfRule type="cellIs" dxfId="9" priority="23" operator="equal">
      <formula>"已完成"</formula>
    </cfRule>
  </conditionalFormatting>
  <conditionalFormatting sqref="C12:C13">
    <cfRule type="cellIs" dxfId="8" priority="47" operator="equal">
      <formula>"待启动"</formula>
    </cfRule>
    <cfRule type="cellIs" dxfId="7" priority="48" operator="equal">
      <formula>"未开始"</formula>
    </cfRule>
    <cfRule type="cellIs" dxfId="6" priority="49" operator="equal">
      <formula>"进行中"</formula>
    </cfRule>
  </conditionalFormatting>
  <conditionalFormatting sqref="C16:C18">
    <cfRule type="cellIs" dxfId="5" priority="35" operator="equal">
      <formula>"待启动"</formula>
    </cfRule>
    <cfRule type="cellIs" dxfId="4" priority="36" operator="equal">
      <formula>"未开始"</formula>
    </cfRule>
    <cfRule type="cellIs" dxfId="3" priority="37" operator="equal">
      <formula>"进行中"</formula>
    </cfRule>
  </conditionalFormatting>
  <conditionalFormatting sqref="C20:C21">
    <cfRule type="cellIs" dxfId="2" priority="24" operator="equal">
      <formula>"待启动"</formula>
    </cfRule>
    <cfRule type="cellIs" dxfId="1" priority="25" operator="equal">
      <formula>"未开始"</formula>
    </cfRule>
    <cfRule type="cellIs" dxfId="0" priority="26" operator="equal">
      <formula>"进行中"</formula>
    </cfRule>
  </conditionalFormatting>
  <dataValidations count="2">
    <dataValidation type="list" allowBlank="1" showInputMessage="1" showErrorMessage="1" sqref="C14:C15 C1:C11 C19 C22:C1048576" xr:uid="{00000000-0002-0000-0300-000000000000}">
      <formula1>"进行中,暂停中,已完成"</formula1>
    </dataValidation>
    <dataValidation type="list" allowBlank="1" showInputMessage="1" showErrorMessage="1" sqref="C12:C13 C16:C18 C20:C21" xr:uid="{00000000-0002-0000-0300-000001000000}">
      <formula1>"待启动,进行中,已完成"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8D8D8"/>
    <outlinePr summaryBelow="0" summaryRight="0"/>
  </sheetPr>
  <dimension ref="A2:M37"/>
  <sheetViews>
    <sheetView zoomScale="70" zoomScaleNormal="70" workbookViewId="0"/>
  </sheetViews>
  <sheetFormatPr defaultColWidth="8.875" defaultRowHeight="14.25" customHeight="1" x14ac:dyDescent="0.25"/>
  <cols>
    <col min="1" max="1" width="23.5" style="101" customWidth="1"/>
    <col min="2" max="2" width="11.75" style="101" customWidth="1"/>
    <col min="3" max="3" width="13.75" style="101" customWidth="1"/>
    <col min="6" max="7" width="8.875" style="101" customWidth="1"/>
    <col min="8" max="8" width="15" style="101" customWidth="1"/>
    <col min="9" max="9" width="14.25" style="5" customWidth="1"/>
    <col min="10" max="12" width="11.25" style="101" customWidth="1"/>
  </cols>
  <sheetData>
    <row r="2" spans="1:13" ht="14.25" customHeight="1" x14ac:dyDescent="0.25">
      <c r="A2" s="37" t="s">
        <v>206</v>
      </c>
      <c r="B2" s="29" t="s">
        <v>207</v>
      </c>
      <c r="C2" s="29" t="s">
        <v>208</v>
      </c>
      <c r="D2" s="29" t="s">
        <v>146</v>
      </c>
      <c r="E2" s="29" t="s">
        <v>209</v>
      </c>
      <c r="F2" s="29" t="s">
        <v>210</v>
      </c>
      <c r="G2" s="29" t="s">
        <v>211</v>
      </c>
      <c r="H2" s="29">
        <v>210446</v>
      </c>
      <c r="I2" s="29" t="s">
        <v>212</v>
      </c>
      <c r="J2" s="29" t="s">
        <v>213</v>
      </c>
      <c r="K2" s="29" t="s">
        <v>214</v>
      </c>
      <c r="L2" s="29" t="s">
        <v>215</v>
      </c>
      <c r="M2" s="29" t="s">
        <v>216</v>
      </c>
    </row>
    <row r="3" spans="1:13" ht="16.149999999999999" customHeight="1" x14ac:dyDescent="0.25">
      <c r="A3" s="30" t="s">
        <v>217</v>
      </c>
      <c r="B3" s="31" t="s">
        <v>218</v>
      </c>
      <c r="C3" s="260" t="s">
        <v>219</v>
      </c>
      <c r="D3" s="260" t="s">
        <v>220</v>
      </c>
      <c r="E3" s="263" t="s">
        <v>221</v>
      </c>
      <c r="F3" s="263">
        <v>4</v>
      </c>
      <c r="G3" s="263">
        <v>5</v>
      </c>
      <c r="H3" s="32" t="s">
        <v>222</v>
      </c>
      <c r="I3" s="33">
        <v>1</v>
      </c>
      <c r="J3" s="32">
        <v>1</v>
      </c>
      <c r="K3" s="32">
        <v>2</v>
      </c>
      <c r="L3" s="32">
        <v>3</v>
      </c>
      <c r="M3" s="260" t="s">
        <v>223</v>
      </c>
    </row>
    <row r="4" spans="1:13" ht="16.149999999999999" customHeight="1" x14ac:dyDescent="0.25">
      <c r="A4" s="30" t="s">
        <v>224</v>
      </c>
      <c r="B4" s="31" t="s">
        <v>225</v>
      </c>
      <c r="C4" s="261"/>
      <c r="D4" s="261"/>
      <c r="E4" s="264"/>
      <c r="F4" s="264"/>
      <c r="G4" s="264"/>
      <c r="H4" s="32" t="s">
        <v>226</v>
      </c>
      <c r="I4" s="34"/>
      <c r="J4" s="8"/>
      <c r="K4" s="8"/>
      <c r="L4" s="8"/>
      <c r="M4" s="261"/>
    </row>
    <row r="5" spans="1:13" ht="16.149999999999999" customHeight="1" x14ac:dyDescent="0.25">
      <c r="A5" s="30" t="s">
        <v>227</v>
      </c>
      <c r="B5" s="22"/>
      <c r="C5" s="261"/>
      <c r="D5" s="261"/>
      <c r="E5" s="264"/>
      <c r="F5" s="264"/>
      <c r="G5" s="264"/>
      <c r="H5" s="32" t="s">
        <v>228</v>
      </c>
      <c r="I5" s="35">
        <v>44945</v>
      </c>
      <c r="J5" s="35">
        <v>45015</v>
      </c>
      <c r="K5" s="36">
        <v>45022</v>
      </c>
      <c r="L5" s="36">
        <v>45029</v>
      </c>
      <c r="M5" s="261"/>
    </row>
    <row r="6" spans="1:13" ht="16.149999999999999" customHeight="1" x14ac:dyDescent="0.25">
      <c r="A6" s="23"/>
      <c r="B6" s="22"/>
      <c r="C6" s="261"/>
      <c r="D6" s="261"/>
      <c r="E6" s="264"/>
      <c r="F6" s="264"/>
      <c r="G6" s="264"/>
      <c r="H6" s="32" t="s">
        <v>229</v>
      </c>
      <c r="I6" s="35">
        <v>44949</v>
      </c>
      <c r="J6" s="36">
        <v>45019</v>
      </c>
      <c r="K6" s="36">
        <v>45026</v>
      </c>
      <c r="L6" s="36">
        <v>45033</v>
      </c>
      <c r="M6" s="261"/>
    </row>
    <row r="7" spans="1:13" ht="16.149999999999999" customHeight="1" x14ac:dyDescent="0.25">
      <c r="A7" s="24"/>
      <c r="B7" s="25"/>
      <c r="C7" s="262"/>
      <c r="D7" s="262"/>
      <c r="E7" s="265"/>
      <c r="F7" s="265"/>
      <c r="G7" s="265"/>
      <c r="H7" s="32" t="s">
        <v>230</v>
      </c>
      <c r="I7" s="34"/>
      <c r="J7" s="8"/>
      <c r="K7" s="8"/>
      <c r="L7" s="8"/>
      <c r="M7" s="262"/>
    </row>
    <row r="8" spans="1:13" ht="16.149999999999999" customHeight="1" x14ac:dyDescent="0.25">
      <c r="A8" s="30" t="s">
        <v>231</v>
      </c>
      <c r="B8" s="260" t="s">
        <v>218</v>
      </c>
      <c r="C8" s="260" t="s">
        <v>232</v>
      </c>
      <c r="D8" s="260" t="s">
        <v>220</v>
      </c>
      <c r="E8" s="263" t="s">
        <v>233</v>
      </c>
      <c r="F8" s="263">
        <v>4.5</v>
      </c>
      <c r="G8" s="263">
        <v>4</v>
      </c>
      <c r="H8" s="32" t="s">
        <v>222</v>
      </c>
      <c r="I8" s="33">
        <v>1</v>
      </c>
      <c r="J8" s="32">
        <v>1</v>
      </c>
      <c r="K8" s="32">
        <v>2</v>
      </c>
      <c r="L8" s="32">
        <v>3</v>
      </c>
      <c r="M8" s="260" t="s">
        <v>223</v>
      </c>
    </row>
    <row r="9" spans="1:13" ht="16.149999999999999" customHeight="1" x14ac:dyDescent="0.25">
      <c r="A9" s="30" t="s">
        <v>234</v>
      </c>
      <c r="B9" s="261"/>
      <c r="C9" s="261"/>
      <c r="D9" s="261"/>
      <c r="E9" s="264"/>
      <c r="F9" s="264"/>
      <c r="G9" s="264"/>
      <c r="H9" s="32" t="s">
        <v>226</v>
      </c>
      <c r="I9" s="34"/>
      <c r="J9" s="8"/>
      <c r="K9" s="8"/>
      <c r="L9" s="8"/>
      <c r="M9" s="261"/>
    </row>
    <row r="10" spans="1:13" ht="16.149999999999999" customHeight="1" x14ac:dyDescent="0.25">
      <c r="A10" s="23"/>
      <c r="B10" s="261"/>
      <c r="C10" s="261"/>
      <c r="D10" s="261"/>
      <c r="E10" s="264"/>
      <c r="F10" s="264"/>
      <c r="G10" s="264"/>
      <c r="H10" s="32" t="s">
        <v>228</v>
      </c>
      <c r="I10" s="35">
        <v>44956</v>
      </c>
      <c r="J10" s="36">
        <v>45022</v>
      </c>
      <c r="K10" s="36">
        <v>45037</v>
      </c>
      <c r="L10" s="36">
        <v>45052</v>
      </c>
      <c r="M10" s="261"/>
    </row>
    <row r="11" spans="1:13" ht="16.149999999999999" customHeight="1" x14ac:dyDescent="0.25">
      <c r="A11" s="23"/>
      <c r="B11" s="261"/>
      <c r="C11" s="261"/>
      <c r="D11" s="261"/>
      <c r="E11" s="264"/>
      <c r="F11" s="264"/>
      <c r="G11" s="264"/>
      <c r="H11" s="32" t="s">
        <v>229</v>
      </c>
      <c r="I11" s="35">
        <v>44959</v>
      </c>
      <c r="J11" s="36">
        <v>45025</v>
      </c>
      <c r="K11" s="36">
        <v>45040</v>
      </c>
      <c r="L11" s="36">
        <v>45055</v>
      </c>
      <c r="M11" s="261"/>
    </row>
    <row r="12" spans="1:13" ht="16.149999999999999" customHeight="1" x14ac:dyDescent="0.25">
      <c r="A12" s="24"/>
      <c r="B12" s="262"/>
      <c r="C12" s="262"/>
      <c r="D12" s="262"/>
      <c r="E12" s="265"/>
      <c r="F12" s="265"/>
      <c r="G12" s="265"/>
      <c r="H12" s="32" t="s">
        <v>230</v>
      </c>
      <c r="I12" s="34"/>
      <c r="J12" s="8"/>
      <c r="K12" s="8"/>
      <c r="L12" s="8"/>
      <c r="M12" s="262"/>
    </row>
    <row r="13" spans="1:13" ht="16.149999999999999" customHeight="1" x14ac:dyDescent="0.25">
      <c r="A13" s="30" t="s">
        <v>231</v>
      </c>
      <c r="B13" s="260" t="s">
        <v>218</v>
      </c>
      <c r="C13" s="260" t="s">
        <v>235</v>
      </c>
      <c r="D13" s="260" t="s">
        <v>220</v>
      </c>
      <c r="E13" s="263" t="s">
        <v>221</v>
      </c>
      <c r="F13" s="263">
        <v>4.5</v>
      </c>
      <c r="G13" s="263">
        <v>6</v>
      </c>
      <c r="H13" s="32" t="s">
        <v>222</v>
      </c>
      <c r="I13" s="33">
        <v>1</v>
      </c>
      <c r="J13" s="32">
        <v>1</v>
      </c>
      <c r="K13" s="32">
        <v>2</v>
      </c>
      <c r="L13" s="32">
        <v>3</v>
      </c>
      <c r="M13" s="260" t="s">
        <v>223</v>
      </c>
    </row>
    <row r="14" spans="1:13" ht="16.149999999999999" customHeight="1" x14ac:dyDescent="0.25">
      <c r="A14" s="30" t="s">
        <v>234</v>
      </c>
      <c r="B14" s="261"/>
      <c r="C14" s="261"/>
      <c r="D14" s="261"/>
      <c r="E14" s="264"/>
      <c r="F14" s="264"/>
      <c r="G14" s="264"/>
      <c r="H14" s="32" t="s">
        <v>226</v>
      </c>
      <c r="I14" s="34"/>
      <c r="J14" s="8"/>
      <c r="K14" s="8"/>
      <c r="L14" s="8"/>
      <c r="M14" s="261"/>
    </row>
    <row r="15" spans="1:13" ht="16.149999999999999" customHeight="1" x14ac:dyDescent="0.25">
      <c r="A15" s="30" t="s">
        <v>236</v>
      </c>
      <c r="B15" s="261"/>
      <c r="C15" s="261"/>
      <c r="D15" s="261"/>
      <c r="E15" s="264"/>
      <c r="F15" s="264"/>
      <c r="G15" s="264"/>
      <c r="H15" s="32" t="s">
        <v>228</v>
      </c>
      <c r="I15" s="35">
        <v>44962</v>
      </c>
      <c r="J15" s="36">
        <v>45028</v>
      </c>
      <c r="K15" s="36">
        <v>45043</v>
      </c>
      <c r="L15" s="36">
        <v>45058</v>
      </c>
      <c r="M15" s="261"/>
    </row>
    <row r="16" spans="1:13" ht="16.149999999999999" customHeight="1" x14ac:dyDescent="0.25">
      <c r="A16" s="23"/>
      <c r="B16" s="261"/>
      <c r="C16" s="261"/>
      <c r="D16" s="261"/>
      <c r="E16" s="264"/>
      <c r="F16" s="264"/>
      <c r="G16" s="264"/>
      <c r="H16" s="32" t="s">
        <v>229</v>
      </c>
      <c r="I16" s="35">
        <v>44967</v>
      </c>
      <c r="J16" s="36">
        <v>45033</v>
      </c>
      <c r="K16" s="36">
        <v>45048</v>
      </c>
      <c r="L16" s="36">
        <v>45063</v>
      </c>
      <c r="M16" s="261"/>
    </row>
    <row r="17" spans="1:13" ht="16.149999999999999" customHeight="1" x14ac:dyDescent="0.25">
      <c r="A17" s="24"/>
      <c r="B17" s="262"/>
      <c r="C17" s="262"/>
      <c r="D17" s="262"/>
      <c r="E17" s="265"/>
      <c r="F17" s="265"/>
      <c r="G17" s="265"/>
      <c r="H17" s="32" t="s">
        <v>230</v>
      </c>
      <c r="I17" s="34"/>
      <c r="J17" s="8"/>
      <c r="K17" s="8"/>
      <c r="L17" s="8"/>
      <c r="M17" s="262"/>
    </row>
    <row r="18" spans="1:13" ht="16.149999999999999" customHeight="1" x14ac:dyDescent="0.25">
      <c r="A18" s="30" t="s">
        <v>237</v>
      </c>
      <c r="B18" s="260" t="s">
        <v>218</v>
      </c>
      <c r="C18" s="260" t="s">
        <v>238</v>
      </c>
      <c r="D18" s="260" t="s">
        <v>220</v>
      </c>
      <c r="E18" s="263" t="s">
        <v>221</v>
      </c>
      <c r="F18" s="263">
        <v>8</v>
      </c>
      <c r="G18" s="263">
        <v>7</v>
      </c>
      <c r="H18" s="32" t="s">
        <v>222</v>
      </c>
      <c r="I18" s="33">
        <v>1</v>
      </c>
      <c r="J18" s="32">
        <v>1</v>
      </c>
      <c r="K18" s="32">
        <v>2</v>
      </c>
      <c r="L18" s="32">
        <v>3</v>
      </c>
      <c r="M18" s="260" t="s">
        <v>239</v>
      </c>
    </row>
    <row r="19" spans="1:13" ht="16.149999999999999" customHeight="1" x14ac:dyDescent="0.25">
      <c r="A19" s="30" t="s">
        <v>240</v>
      </c>
      <c r="B19" s="261"/>
      <c r="C19" s="261"/>
      <c r="D19" s="261"/>
      <c r="E19" s="264"/>
      <c r="F19" s="264"/>
      <c r="G19" s="264"/>
      <c r="H19" s="32" t="s">
        <v>226</v>
      </c>
      <c r="I19" s="34"/>
      <c r="J19" s="8"/>
      <c r="K19" s="8"/>
      <c r="L19" s="8"/>
      <c r="M19" s="261"/>
    </row>
    <row r="20" spans="1:13" ht="31.9" customHeight="1" x14ac:dyDescent="0.25">
      <c r="A20" s="30" t="s">
        <v>241</v>
      </c>
      <c r="B20" s="261"/>
      <c r="C20" s="261"/>
      <c r="D20" s="261"/>
      <c r="E20" s="264"/>
      <c r="F20" s="264"/>
      <c r="G20" s="264"/>
      <c r="H20" s="32" t="s">
        <v>228</v>
      </c>
      <c r="I20" s="35">
        <v>44970</v>
      </c>
      <c r="J20" s="36">
        <v>45063</v>
      </c>
      <c r="K20" s="36">
        <v>45071</v>
      </c>
      <c r="L20" s="36">
        <v>45079</v>
      </c>
      <c r="M20" s="261"/>
    </row>
    <row r="21" spans="1:13" ht="16.149999999999999" customHeight="1" x14ac:dyDescent="0.25">
      <c r="A21" s="30" t="s">
        <v>242</v>
      </c>
      <c r="B21" s="261"/>
      <c r="C21" s="261"/>
      <c r="D21" s="261"/>
      <c r="E21" s="264"/>
      <c r="F21" s="264"/>
      <c r="G21" s="264"/>
      <c r="H21" s="32" t="s">
        <v>229</v>
      </c>
      <c r="I21" s="35">
        <v>44976</v>
      </c>
      <c r="J21" s="36">
        <v>45069</v>
      </c>
      <c r="K21" s="36">
        <v>45077</v>
      </c>
      <c r="L21" s="36">
        <v>45085</v>
      </c>
      <c r="M21" s="261"/>
    </row>
    <row r="22" spans="1:13" ht="16.149999999999999" customHeight="1" x14ac:dyDescent="0.25">
      <c r="A22" s="24"/>
      <c r="B22" s="262"/>
      <c r="C22" s="262"/>
      <c r="D22" s="262"/>
      <c r="E22" s="265"/>
      <c r="F22" s="265"/>
      <c r="G22" s="265"/>
      <c r="H22" s="32" t="s">
        <v>230</v>
      </c>
      <c r="I22" s="34"/>
      <c r="J22" s="8"/>
      <c r="K22" s="8"/>
      <c r="L22" s="8"/>
      <c r="M22" s="262"/>
    </row>
    <row r="23" spans="1:13" ht="16.149999999999999" customHeight="1" x14ac:dyDescent="0.25">
      <c r="A23" s="30" t="s">
        <v>243</v>
      </c>
      <c r="B23" s="260" t="s">
        <v>218</v>
      </c>
      <c r="C23" s="260" t="s">
        <v>244</v>
      </c>
      <c r="D23" s="260" t="s">
        <v>220</v>
      </c>
      <c r="E23" s="263" t="s">
        <v>233</v>
      </c>
      <c r="F23" s="263">
        <v>4.5</v>
      </c>
      <c r="G23" s="263">
        <v>7</v>
      </c>
      <c r="H23" s="32" t="s">
        <v>222</v>
      </c>
      <c r="I23" s="33">
        <v>1</v>
      </c>
      <c r="J23" s="32">
        <v>1</v>
      </c>
      <c r="K23" s="32">
        <v>2</v>
      </c>
      <c r="L23" s="32">
        <v>3</v>
      </c>
      <c r="M23" s="260" t="s">
        <v>223</v>
      </c>
    </row>
    <row r="24" spans="1:13" ht="16.149999999999999" customHeight="1" x14ac:dyDescent="0.25">
      <c r="A24" s="30" t="s">
        <v>245</v>
      </c>
      <c r="B24" s="261"/>
      <c r="C24" s="261"/>
      <c r="D24" s="261"/>
      <c r="E24" s="264"/>
      <c r="F24" s="264"/>
      <c r="G24" s="264"/>
      <c r="H24" s="32" t="s">
        <v>226</v>
      </c>
      <c r="I24" s="34"/>
      <c r="J24" s="8"/>
      <c r="K24" s="8"/>
      <c r="L24" s="8"/>
      <c r="M24" s="261"/>
    </row>
    <row r="25" spans="1:13" ht="16.149999999999999" customHeight="1" x14ac:dyDescent="0.25">
      <c r="A25" s="23"/>
      <c r="B25" s="261"/>
      <c r="C25" s="261"/>
      <c r="D25" s="261"/>
      <c r="E25" s="264"/>
      <c r="F25" s="264"/>
      <c r="G25" s="264"/>
      <c r="H25" s="32" t="s">
        <v>228</v>
      </c>
      <c r="I25" s="35">
        <v>44979</v>
      </c>
      <c r="J25" s="36">
        <v>45073</v>
      </c>
      <c r="K25" s="36">
        <v>45083</v>
      </c>
      <c r="L25" s="36">
        <v>45093</v>
      </c>
      <c r="M25" s="261"/>
    </row>
    <row r="26" spans="1:13" ht="16.149999999999999" customHeight="1" x14ac:dyDescent="0.25">
      <c r="A26" s="23"/>
      <c r="B26" s="261"/>
      <c r="C26" s="261"/>
      <c r="D26" s="261"/>
      <c r="E26" s="264"/>
      <c r="F26" s="264"/>
      <c r="G26" s="264"/>
      <c r="H26" s="32" t="s">
        <v>229</v>
      </c>
      <c r="I26" s="35">
        <v>44985</v>
      </c>
      <c r="J26" s="36">
        <v>45079</v>
      </c>
      <c r="K26" s="36">
        <v>45089</v>
      </c>
      <c r="L26" s="36">
        <v>45099</v>
      </c>
      <c r="M26" s="261"/>
    </row>
    <row r="27" spans="1:13" ht="16.149999999999999" customHeight="1" x14ac:dyDescent="0.25">
      <c r="A27" s="24"/>
      <c r="B27" s="262"/>
      <c r="C27" s="262"/>
      <c r="D27" s="262"/>
      <c r="E27" s="265"/>
      <c r="F27" s="265"/>
      <c r="G27" s="265"/>
      <c r="H27" s="32" t="s">
        <v>230</v>
      </c>
      <c r="I27" s="34"/>
      <c r="J27" s="8"/>
      <c r="K27" s="8"/>
      <c r="L27" s="8"/>
      <c r="M27" s="262"/>
    </row>
    <row r="28" spans="1:13" ht="16.149999999999999" customHeight="1" x14ac:dyDescent="0.25">
      <c r="A28" s="30" t="s">
        <v>246</v>
      </c>
      <c r="B28" s="260" t="s">
        <v>225</v>
      </c>
      <c r="C28" s="260" t="s">
        <v>247</v>
      </c>
      <c r="D28" s="260" t="s">
        <v>220</v>
      </c>
      <c r="E28" s="263" t="s">
        <v>221</v>
      </c>
      <c r="F28" s="263">
        <v>4.08</v>
      </c>
      <c r="G28" s="263">
        <v>6</v>
      </c>
      <c r="H28" s="32" t="s">
        <v>222</v>
      </c>
      <c r="I28" s="33">
        <v>1</v>
      </c>
      <c r="J28" s="32">
        <v>1</v>
      </c>
      <c r="K28" s="32">
        <v>2</v>
      </c>
      <c r="L28" s="32">
        <v>3</v>
      </c>
      <c r="M28" s="260" t="s">
        <v>223</v>
      </c>
    </row>
    <row r="29" spans="1:13" ht="16.149999999999999" customHeight="1" x14ac:dyDescent="0.25">
      <c r="A29" s="30" t="s">
        <v>248</v>
      </c>
      <c r="B29" s="261"/>
      <c r="C29" s="261"/>
      <c r="D29" s="261"/>
      <c r="E29" s="264"/>
      <c r="F29" s="264"/>
      <c r="G29" s="264"/>
      <c r="H29" s="32" t="s">
        <v>226</v>
      </c>
      <c r="I29" s="34"/>
      <c r="J29" s="8"/>
      <c r="K29" s="8"/>
      <c r="L29" s="8"/>
      <c r="M29" s="261"/>
    </row>
    <row r="30" spans="1:13" ht="16.149999999999999" customHeight="1" x14ac:dyDescent="0.25">
      <c r="A30" s="30" t="s">
        <v>249</v>
      </c>
      <c r="B30" s="261"/>
      <c r="C30" s="261"/>
      <c r="D30" s="261"/>
      <c r="E30" s="264"/>
      <c r="F30" s="264"/>
      <c r="G30" s="264"/>
      <c r="H30" s="32" t="s">
        <v>228</v>
      </c>
      <c r="I30" s="35">
        <v>44994</v>
      </c>
      <c r="J30" s="36">
        <v>45087</v>
      </c>
      <c r="K30" s="36">
        <v>45094</v>
      </c>
      <c r="L30" s="36">
        <v>45101</v>
      </c>
      <c r="M30" s="261"/>
    </row>
    <row r="31" spans="1:13" ht="16.149999999999999" customHeight="1" x14ac:dyDescent="0.25">
      <c r="A31" s="30" t="s">
        <v>250</v>
      </c>
      <c r="B31" s="261"/>
      <c r="C31" s="261"/>
      <c r="D31" s="261"/>
      <c r="E31" s="264"/>
      <c r="F31" s="264"/>
      <c r="G31" s="264"/>
      <c r="H31" s="32" t="s">
        <v>229</v>
      </c>
      <c r="I31" s="35">
        <v>44999</v>
      </c>
      <c r="J31" s="36">
        <v>45092</v>
      </c>
      <c r="K31" s="36">
        <v>45099</v>
      </c>
      <c r="L31" s="36">
        <v>45106</v>
      </c>
      <c r="M31" s="261"/>
    </row>
    <row r="32" spans="1:13" ht="16.149999999999999" customHeight="1" x14ac:dyDescent="0.25">
      <c r="A32" s="24"/>
      <c r="B32" s="262"/>
      <c r="C32" s="262"/>
      <c r="D32" s="262"/>
      <c r="E32" s="265"/>
      <c r="F32" s="265"/>
      <c r="G32" s="265"/>
      <c r="H32" s="32" t="s">
        <v>230</v>
      </c>
      <c r="I32" s="34"/>
      <c r="J32" s="8"/>
      <c r="K32" s="8"/>
      <c r="L32" s="8"/>
      <c r="M32" s="262"/>
    </row>
    <row r="33" spans="1:13" ht="16.149999999999999" customHeight="1" x14ac:dyDescent="0.25">
      <c r="A33" s="260" t="s">
        <v>251</v>
      </c>
      <c r="B33" s="260" t="s">
        <v>225</v>
      </c>
      <c r="C33" s="260" t="s">
        <v>252</v>
      </c>
      <c r="D33" s="260" t="s">
        <v>253</v>
      </c>
      <c r="E33" s="263" t="s">
        <v>221</v>
      </c>
      <c r="F33" s="263" t="s">
        <v>223</v>
      </c>
      <c r="G33" s="263">
        <v>5</v>
      </c>
      <c r="H33" s="32" t="s">
        <v>222</v>
      </c>
      <c r="I33" s="33">
        <v>1</v>
      </c>
      <c r="J33" s="32">
        <v>1</v>
      </c>
      <c r="K33" s="32">
        <v>2</v>
      </c>
      <c r="L33" s="32">
        <v>3</v>
      </c>
      <c r="M33" s="260" t="s">
        <v>223</v>
      </c>
    </row>
    <row r="34" spans="1:13" ht="16.149999999999999" customHeight="1" x14ac:dyDescent="0.25">
      <c r="A34" s="261"/>
      <c r="B34" s="261"/>
      <c r="C34" s="261"/>
      <c r="D34" s="261"/>
      <c r="E34" s="264"/>
      <c r="F34" s="264"/>
      <c r="G34" s="264"/>
      <c r="H34" s="32" t="s">
        <v>226</v>
      </c>
      <c r="I34" s="34"/>
      <c r="J34" s="8"/>
      <c r="K34" s="8"/>
      <c r="L34" s="8"/>
      <c r="M34" s="261"/>
    </row>
    <row r="35" spans="1:13" ht="16.149999999999999" customHeight="1" x14ac:dyDescent="0.25">
      <c r="A35" s="261"/>
      <c r="B35" s="261"/>
      <c r="C35" s="261"/>
      <c r="D35" s="261"/>
      <c r="E35" s="264"/>
      <c r="F35" s="264"/>
      <c r="G35" s="264"/>
      <c r="H35" s="32" t="s">
        <v>228</v>
      </c>
      <c r="I35" s="35">
        <v>45001</v>
      </c>
      <c r="J35" s="36">
        <v>45106</v>
      </c>
      <c r="K35" s="36">
        <v>45114</v>
      </c>
      <c r="L35" s="36">
        <v>45122</v>
      </c>
      <c r="M35" s="261"/>
    </row>
    <row r="36" spans="1:13" ht="16.149999999999999" customHeight="1" x14ac:dyDescent="0.25">
      <c r="A36" s="261"/>
      <c r="B36" s="261"/>
      <c r="C36" s="261"/>
      <c r="D36" s="261"/>
      <c r="E36" s="264"/>
      <c r="F36" s="264"/>
      <c r="G36" s="264"/>
      <c r="H36" s="32" t="s">
        <v>229</v>
      </c>
      <c r="I36" s="35">
        <v>45005</v>
      </c>
      <c r="J36" s="36">
        <v>45110</v>
      </c>
      <c r="K36" s="36">
        <v>45118</v>
      </c>
      <c r="L36" s="35">
        <v>45126</v>
      </c>
      <c r="M36" s="261"/>
    </row>
    <row r="37" spans="1:13" ht="16.149999999999999" customHeight="1" x14ac:dyDescent="0.25">
      <c r="A37" s="262"/>
      <c r="B37" s="262"/>
      <c r="C37" s="262"/>
      <c r="D37" s="262"/>
      <c r="E37" s="265"/>
      <c r="F37" s="265"/>
      <c r="G37" s="265"/>
      <c r="H37" s="32" t="s">
        <v>230</v>
      </c>
      <c r="I37" s="33">
        <v>25</v>
      </c>
      <c r="J37" s="32">
        <v>25</v>
      </c>
      <c r="K37" s="32">
        <v>25</v>
      </c>
      <c r="L37" s="32">
        <v>25</v>
      </c>
      <c r="M37" s="262"/>
    </row>
  </sheetData>
  <mergeCells count="49">
    <mergeCell ref="A33:A37"/>
    <mergeCell ref="B23:B27"/>
    <mergeCell ref="M3:M7"/>
    <mergeCell ref="D8:D12"/>
    <mergeCell ref="D23:D27"/>
    <mergeCell ref="M18:M22"/>
    <mergeCell ref="C13:C17"/>
    <mergeCell ref="G8:G12"/>
    <mergeCell ref="D33:D37"/>
    <mergeCell ref="D28:D32"/>
    <mergeCell ref="E18:E22"/>
    <mergeCell ref="C8:C12"/>
    <mergeCell ref="G33:G37"/>
    <mergeCell ref="E23:E27"/>
    <mergeCell ref="F23:F27"/>
    <mergeCell ref="F18:F22"/>
    <mergeCell ref="M8:M12"/>
    <mergeCell ref="C33:C37"/>
    <mergeCell ref="F8:F12"/>
    <mergeCell ref="B28:B32"/>
    <mergeCell ref="E3:E7"/>
    <mergeCell ref="G3:G7"/>
    <mergeCell ref="G18:G22"/>
    <mergeCell ref="C18:C22"/>
    <mergeCell ref="F13:F17"/>
    <mergeCell ref="M23:M27"/>
    <mergeCell ref="M13:M17"/>
    <mergeCell ref="C3:C7"/>
    <mergeCell ref="F33:F37"/>
    <mergeCell ref="M28:M32"/>
    <mergeCell ref="B8:B12"/>
    <mergeCell ref="B33:B37"/>
    <mergeCell ref="M33:M37"/>
    <mergeCell ref="C28:C32"/>
    <mergeCell ref="G13:G17"/>
    <mergeCell ref="F28:F32"/>
    <mergeCell ref="C23:C27"/>
    <mergeCell ref="G23:G27"/>
    <mergeCell ref="B13:B17"/>
    <mergeCell ref="B18:B22"/>
    <mergeCell ref="G28:G32"/>
    <mergeCell ref="D13:D17"/>
    <mergeCell ref="E33:E37"/>
    <mergeCell ref="E28:E32"/>
    <mergeCell ref="D3:D7"/>
    <mergeCell ref="E8:E12"/>
    <mergeCell ref="F3:F7"/>
    <mergeCell ref="D18:D22"/>
    <mergeCell ref="E13:E17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135"/>
    <outlinePr summaryBelow="0" summaryRight="0"/>
  </sheetPr>
  <dimension ref="A1:P54"/>
  <sheetViews>
    <sheetView zoomScale="85" zoomScaleNormal="85" workbookViewId="0"/>
  </sheetViews>
  <sheetFormatPr defaultColWidth="8.875" defaultRowHeight="14.25" customHeight="1" x14ac:dyDescent="0.25"/>
  <cols>
    <col min="1" max="1" width="17.25" style="101" customWidth="1"/>
    <col min="2" max="2" width="15" style="101" customWidth="1"/>
    <col min="3" max="3" width="16.75" style="101" customWidth="1"/>
    <col min="4" max="4" width="25.125" style="101" customWidth="1"/>
    <col min="5" max="5" width="16.75" style="101" customWidth="1"/>
    <col min="10" max="10" width="10.75" style="101" customWidth="1"/>
    <col min="12" max="13" width="18.25" style="101" customWidth="1"/>
    <col min="14" max="14" width="16.25" style="101" customWidth="1"/>
    <col min="15" max="15" width="13.25" style="101" customWidth="1"/>
  </cols>
  <sheetData>
    <row r="1" spans="1:16" ht="14.1" customHeight="1" x14ac:dyDescent="0.25">
      <c r="A1" s="7" t="s">
        <v>254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6" ht="14.25" customHeight="1" x14ac:dyDescent="0.25">
      <c r="A3" s="7" t="s">
        <v>255</v>
      </c>
      <c r="B3" s="7"/>
      <c r="C3" s="7"/>
      <c r="D3" s="7"/>
      <c r="E3" s="7"/>
      <c r="F3" s="7"/>
      <c r="G3" s="7"/>
      <c r="H3" s="7"/>
      <c r="I3" s="7"/>
      <c r="J3" s="7"/>
    </row>
    <row r="5" spans="1:16" ht="16.149999999999999" customHeight="1" x14ac:dyDescent="0.25">
      <c r="A5" s="26" t="s">
        <v>208</v>
      </c>
      <c r="B5" s="27" t="s">
        <v>207</v>
      </c>
      <c r="C5" s="27" t="s">
        <v>256</v>
      </c>
      <c r="D5" s="27" t="s">
        <v>257</v>
      </c>
      <c r="E5" s="27" t="s">
        <v>258</v>
      </c>
    </row>
    <row r="6" spans="1:16" ht="31.9" customHeight="1" x14ac:dyDescent="0.25">
      <c r="A6" s="19" t="s">
        <v>235</v>
      </c>
      <c r="B6" s="16" t="s">
        <v>259</v>
      </c>
      <c r="C6" s="16" t="s">
        <v>260</v>
      </c>
      <c r="D6" s="16" t="s">
        <v>261</v>
      </c>
      <c r="E6" s="16" t="s">
        <v>262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6.149999999999999" customHeight="1" x14ac:dyDescent="0.25">
      <c r="A7" s="19" t="s">
        <v>263</v>
      </c>
      <c r="B7" s="16" t="s">
        <v>259</v>
      </c>
      <c r="C7" s="16" t="s">
        <v>264</v>
      </c>
      <c r="D7" s="16" t="s">
        <v>261</v>
      </c>
      <c r="E7" s="16" t="s">
        <v>223</v>
      </c>
    </row>
    <row r="8" spans="1:16" ht="16.149999999999999" customHeight="1" x14ac:dyDescent="0.25">
      <c r="A8" s="19" t="s">
        <v>265</v>
      </c>
      <c r="B8" s="16" t="s">
        <v>266</v>
      </c>
      <c r="C8" s="16" t="s">
        <v>267</v>
      </c>
      <c r="D8" s="16" t="s">
        <v>268</v>
      </c>
      <c r="E8" s="16" t="s">
        <v>223</v>
      </c>
    </row>
    <row r="9" spans="1:16" ht="30.6" customHeight="1" x14ac:dyDescent="0.25">
      <c r="A9" s="19" t="s">
        <v>238</v>
      </c>
      <c r="B9" s="16" t="s">
        <v>266</v>
      </c>
      <c r="C9" s="16" t="s">
        <v>269</v>
      </c>
      <c r="D9" s="16" t="s">
        <v>270</v>
      </c>
      <c r="E9" s="16"/>
    </row>
    <row r="10" spans="1:16" ht="31.9" customHeight="1" x14ac:dyDescent="0.25">
      <c r="A10" s="19" t="s">
        <v>244</v>
      </c>
      <c r="B10" s="16" t="s">
        <v>259</v>
      </c>
      <c r="C10" s="16" t="s">
        <v>271</v>
      </c>
      <c r="D10" s="16" t="s">
        <v>261</v>
      </c>
      <c r="E10" s="16" t="s">
        <v>223</v>
      </c>
    </row>
    <row r="11" spans="1:16" ht="47.65" customHeight="1" x14ac:dyDescent="0.25">
      <c r="A11" s="20" t="s">
        <v>272</v>
      </c>
      <c r="B11" s="17" t="s">
        <v>273</v>
      </c>
      <c r="C11" s="17" t="s">
        <v>274</v>
      </c>
      <c r="D11" s="17" t="s">
        <v>275</v>
      </c>
      <c r="E11" s="17" t="s">
        <v>223</v>
      </c>
    </row>
    <row r="12" spans="1:16" ht="47.65" customHeight="1" x14ac:dyDescent="0.25">
      <c r="A12" s="19" t="s">
        <v>247</v>
      </c>
      <c r="B12" s="16">
        <v>304</v>
      </c>
      <c r="C12" s="16" t="s">
        <v>276</v>
      </c>
      <c r="D12" s="16" t="s">
        <v>270</v>
      </c>
      <c r="E12" s="16"/>
    </row>
    <row r="13" spans="1:16" ht="15.75" customHeight="1" x14ac:dyDescent="0.25">
      <c r="A13" s="266" t="s">
        <v>252</v>
      </c>
      <c r="B13" s="266">
        <v>101</v>
      </c>
      <c r="C13" s="266" t="s">
        <v>277</v>
      </c>
      <c r="D13" s="21" t="s">
        <v>278</v>
      </c>
      <c r="E13" s="266"/>
    </row>
    <row r="14" spans="1:16" ht="47.65" customHeight="1" x14ac:dyDescent="0.25">
      <c r="A14" s="267"/>
      <c r="B14" s="267"/>
      <c r="C14" s="267"/>
      <c r="D14" s="16" t="s">
        <v>279</v>
      </c>
      <c r="E14" s="267"/>
    </row>
    <row r="15" spans="1:16" ht="16.149999999999999" customHeight="1" x14ac:dyDescent="0.25">
      <c r="A15" s="19" t="s">
        <v>280</v>
      </c>
      <c r="B15" s="16"/>
      <c r="C15" s="16" t="s">
        <v>281</v>
      </c>
      <c r="D15" s="16"/>
      <c r="E15" s="16"/>
    </row>
    <row r="18" spans="1:6" ht="14.25" customHeight="1" x14ac:dyDescent="0.25">
      <c r="A18" s="6"/>
    </row>
    <row r="19" spans="1:6" ht="14.25" customHeight="1" x14ac:dyDescent="0.25">
      <c r="A19" s="7" t="s">
        <v>282</v>
      </c>
    </row>
    <row r="20" spans="1:6" ht="16.149999999999999" customHeight="1" x14ac:dyDescent="0.25">
      <c r="A20" s="26" t="s">
        <v>208</v>
      </c>
      <c r="B20" s="28" t="s">
        <v>283</v>
      </c>
      <c r="C20" s="28" t="s">
        <v>284</v>
      </c>
      <c r="D20" s="28" t="s">
        <v>285</v>
      </c>
      <c r="E20" s="28" t="s">
        <v>286</v>
      </c>
      <c r="F20" s="28" t="s">
        <v>150</v>
      </c>
    </row>
    <row r="21" spans="1:6" ht="14.25" customHeight="1" x14ac:dyDescent="0.25">
      <c r="A21" s="277" t="s">
        <v>244</v>
      </c>
      <c r="B21" s="278"/>
      <c r="C21" s="278"/>
      <c r="D21" s="278"/>
      <c r="E21" s="278"/>
      <c r="F21" s="279"/>
    </row>
    <row r="22" spans="1:6" ht="16.149999999999999" customHeight="1" x14ac:dyDescent="0.25">
      <c r="A22" s="280" t="s">
        <v>244</v>
      </c>
      <c r="B22" s="8" t="s">
        <v>287</v>
      </c>
      <c r="C22" s="8" t="s">
        <v>259</v>
      </c>
      <c r="D22" s="9">
        <v>44869.541666666664</v>
      </c>
      <c r="E22" s="8"/>
      <c r="F22" s="8"/>
    </row>
    <row r="23" spans="1:6" ht="16.149999999999999" customHeight="1" x14ac:dyDescent="0.25">
      <c r="A23" s="281"/>
      <c r="B23" s="8" t="s">
        <v>288</v>
      </c>
      <c r="C23" s="8"/>
      <c r="D23" s="9">
        <v>44869.833333333336</v>
      </c>
      <c r="E23" s="10">
        <v>7</v>
      </c>
      <c r="F23" s="8"/>
    </row>
    <row r="24" spans="1:6" ht="16.149999999999999" customHeight="1" x14ac:dyDescent="0.25">
      <c r="A24" s="281"/>
      <c r="B24" s="8" t="s">
        <v>289</v>
      </c>
      <c r="C24" s="8"/>
      <c r="D24" s="9">
        <v>44869.916666666664</v>
      </c>
      <c r="E24" s="10">
        <v>2</v>
      </c>
      <c r="F24" s="8"/>
    </row>
    <row r="25" spans="1:6" ht="16.149999999999999" customHeight="1" x14ac:dyDescent="0.25">
      <c r="A25" s="281"/>
      <c r="B25" s="8" t="s">
        <v>244</v>
      </c>
      <c r="C25" s="8"/>
      <c r="D25" s="8"/>
      <c r="E25" s="8"/>
      <c r="F25" s="8"/>
    </row>
    <row r="26" spans="1:6" ht="16.149999999999999" customHeight="1" x14ac:dyDescent="0.25">
      <c r="A26" s="282"/>
      <c r="B26" s="8"/>
      <c r="C26" s="8"/>
      <c r="D26" s="8"/>
      <c r="E26" s="8"/>
      <c r="F26" s="8"/>
    </row>
    <row r="27" spans="1:6" ht="14.25" customHeight="1" x14ac:dyDescent="0.25">
      <c r="A27" s="286" t="s">
        <v>272</v>
      </c>
      <c r="B27" s="287"/>
      <c r="C27" s="287"/>
      <c r="D27" s="287"/>
      <c r="E27" s="287"/>
      <c r="F27" s="288"/>
    </row>
    <row r="28" spans="1:6" ht="14.25" customHeight="1" x14ac:dyDescent="0.25">
      <c r="A28" s="271" t="s">
        <v>290</v>
      </c>
      <c r="B28" s="8" t="s">
        <v>291</v>
      </c>
      <c r="C28" s="8" t="s">
        <v>292</v>
      </c>
      <c r="D28" s="9">
        <v>44870.541666666664</v>
      </c>
      <c r="E28" s="8"/>
      <c r="F28" s="8"/>
    </row>
    <row r="29" spans="1:6" ht="14.25" customHeight="1" x14ac:dyDescent="0.25">
      <c r="A29" s="272"/>
      <c r="B29" s="8" t="s">
        <v>287</v>
      </c>
      <c r="C29" s="8"/>
      <c r="D29" s="9">
        <v>44870.875</v>
      </c>
      <c r="E29" s="10">
        <v>8</v>
      </c>
      <c r="F29" s="8"/>
    </row>
    <row r="30" spans="1:6" ht="14.25" customHeight="1" x14ac:dyDescent="0.25">
      <c r="A30" s="272"/>
      <c r="B30" s="8" t="s">
        <v>293</v>
      </c>
      <c r="C30" s="8"/>
      <c r="D30" s="9">
        <v>44871.125</v>
      </c>
      <c r="E30" s="10">
        <v>6</v>
      </c>
      <c r="F30" s="8"/>
    </row>
    <row r="31" spans="1:6" ht="14.25" customHeight="1" x14ac:dyDescent="0.25">
      <c r="A31" s="272"/>
      <c r="B31" s="8" t="s">
        <v>294</v>
      </c>
      <c r="C31" s="8"/>
      <c r="D31" s="9">
        <v>44871.333333333336</v>
      </c>
      <c r="E31" s="10">
        <v>5</v>
      </c>
      <c r="F31" s="8"/>
    </row>
    <row r="32" spans="1:6" ht="14.25" customHeight="1" x14ac:dyDescent="0.25">
      <c r="A32" s="272"/>
      <c r="B32" s="8" t="s">
        <v>295</v>
      </c>
      <c r="C32" s="8"/>
      <c r="D32" s="9">
        <v>44871.583333333336</v>
      </c>
      <c r="E32" s="10">
        <v>6</v>
      </c>
      <c r="F32" s="8"/>
    </row>
    <row r="33" spans="1:6" ht="14.25" customHeight="1" x14ac:dyDescent="0.25">
      <c r="A33" s="272"/>
      <c r="B33" s="8" t="s">
        <v>296</v>
      </c>
      <c r="C33" s="8"/>
      <c r="D33" s="11">
        <v>44871.666666666664</v>
      </c>
      <c r="E33" s="12">
        <v>2</v>
      </c>
      <c r="F33" s="13" t="s">
        <v>297</v>
      </c>
    </row>
    <row r="34" spans="1:6" ht="14.25" customHeight="1" x14ac:dyDescent="0.25">
      <c r="A34" s="273"/>
      <c r="B34" s="8" t="s">
        <v>298</v>
      </c>
      <c r="C34" s="8"/>
      <c r="D34" s="9">
        <v>44871.791666666664</v>
      </c>
      <c r="E34" s="10">
        <v>5</v>
      </c>
      <c r="F34" s="8"/>
    </row>
    <row r="35" spans="1:6" ht="14.25" customHeight="1" x14ac:dyDescent="0.25">
      <c r="A35" s="14"/>
      <c r="B35" s="8" t="s">
        <v>299</v>
      </c>
      <c r="C35" s="8"/>
      <c r="D35" s="11">
        <v>44872.791666666664</v>
      </c>
      <c r="E35" s="12">
        <v>24</v>
      </c>
      <c r="F35" s="13" t="s">
        <v>297</v>
      </c>
    </row>
    <row r="36" spans="1:6" ht="14.25" customHeight="1" x14ac:dyDescent="0.25">
      <c r="A36" s="274"/>
      <c r="B36" s="275"/>
      <c r="C36" s="275"/>
      <c r="D36" s="275"/>
      <c r="E36" s="275"/>
      <c r="F36" s="276"/>
    </row>
    <row r="37" spans="1:6" ht="14.25" customHeight="1" x14ac:dyDescent="0.25">
      <c r="A37" s="271" t="s">
        <v>300</v>
      </c>
      <c r="B37" s="8" t="s">
        <v>301</v>
      </c>
      <c r="C37" s="268" t="s">
        <v>292</v>
      </c>
      <c r="D37" s="9">
        <v>44871.791666666664</v>
      </c>
      <c r="E37" s="8"/>
      <c r="F37" s="8"/>
    </row>
    <row r="38" spans="1:6" ht="14.25" customHeight="1" x14ac:dyDescent="0.25">
      <c r="A38" s="272"/>
      <c r="B38" s="8" t="s">
        <v>302</v>
      </c>
      <c r="C38" s="269"/>
      <c r="D38" s="9">
        <v>44872.208333333336</v>
      </c>
      <c r="E38" s="10">
        <v>10</v>
      </c>
      <c r="F38" s="8"/>
    </row>
    <row r="39" spans="1:6" ht="14.25" customHeight="1" x14ac:dyDescent="0.25">
      <c r="A39" s="272"/>
      <c r="B39" s="8" t="s">
        <v>303</v>
      </c>
      <c r="C39" s="269"/>
      <c r="D39" s="9">
        <v>44872.458333333336</v>
      </c>
      <c r="E39" s="10">
        <v>6</v>
      </c>
      <c r="F39" s="8"/>
    </row>
    <row r="40" spans="1:6" ht="14.25" customHeight="1" x14ac:dyDescent="0.25">
      <c r="A40" s="272"/>
      <c r="B40" s="8" t="s">
        <v>304</v>
      </c>
      <c r="C40" s="269"/>
      <c r="D40" s="9">
        <v>44872.666666666664</v>
      </c>
      <c r="E40" s="10">
        <v>5</v>
      </c>
      <c r="F40" s="8"/>
    </row>
    <row r="41" spans="1:6" ht="14.25" customHeight="1" x14ac:dyDescent="0.25">
      <c r="A41" s="272"/>
      <c r="B41" s="8" t="s">
        <v>305</v>
      </c>
      <c r="C41" s="269"/>
      <c r="D41" s="9">
        <v>44872.916666666664</v>
      </c>
      <c r="E41" s="10">
        <v>6</v>
      </c>
      <c r="F41" s="8"/>
    </row>
    <row r="42" spans="1:6" ht="14.25" customHeight="1" x14ac:dyDescent="0.25">
      <c r="A42" s="272"/>
      <c r="B42" s="8" t="s">
        <v>306</v>
      </c>
      <c r="C42" s="269"/>
      <c r="D42" s="9">
        <v>44873</v>
      </c>
      <c r="E42" s="10">
        <v>2</v>
      </c>
      <c r="F42" s="8"/>
    </row>
    <row r="43" spans="1:6" ht="14.25" customHeight="1" x14ac:dyDescent="0.25">
      <c r="A43" s="272"/>
      <c r="B43" s="8" t="s">
        <v>298</v>
      </c>
      <c r="C43" s="270"/>
      <c r="D43" s="9">
        <v>44873.208333333336</v>
      </c>
      <c r="E43" s="10">
        <v>5</v>
      </c>
      <c r="F43" s="8"/>
    </row>
    <row r="44" spans="1:6" ht="14.25" customHeight="1" x14ac:dyDescent="0.25">
      <c r="A44" s="273"/>
      <c r="B44" s="8" t="s">
        <v>299</v>
      </c>
      <c r="C44" s="8"/>
      <c r="D44" s="11">
        <v>44874.208333333336</v>
      </c>
      <c r="E44" s="12">
        <v>24</v>
      </c>
      <c r="F44" s="13" t="s">
        <v>297</v>
      </c>
    </row>
    <row r="45" spans="1:6" ht="14.25" customHeight="1" x14ac:dyDescent="0.25">
      <c r="A45" s="274"/>
      <c r="B45" s="275"/>
      <c r="C45" s="275"/>
      <c r="D45" s="275"/>
      <c r="E45" s="275"/>
      <c r="F45" s="276"/>
    </row>
    <row r="46" spans="1:6" ht="14.25" customHeight="1" x14ac:dyDescent="0.25">
      <c r="A46" s="271" t="s">
        <v>307</v>
      </c>
      <c r="B46" s="8" t="s">
        <v>301</v>
      </c>
      <c r="C46" s="8" t="s">
        <v>266</v>
      </c>
      <c r="D46" s="9">
        <v>44873.333333333336</v>
      </c>
      <c r="E46" s="8"/>
      <c r="F46" s="8"/>
    </row>
    <row r="47" spans="1:6" ht="14.25" customHeight="1" x14ac:dyDescent="0.25">
      <c r="A47" s="272"/>
      <c r="B47" s="8" t="s">
        <v>308</v>
      </c>
      <c r="C47" s="8"/>
      <c r="D47" s="9">
        <v>44874.333333333336</v>
      </c>
      <c r="E47" s="10">
        <v>24</v>
      </c>
      <c r="F47" s="8"/>
    </row>
    <row r="48" spans="1:6" ht="14.25" customHeight="1" x14ac:dyDescent="0.25">
      <c r="A48" s="272"/>
      <c r="B48" s="8" t="s">
        <v>306</v>
      </c>
      <c r="C48" s="8"/>
      <c r="D48" s="9">
        <v>44874.583333333336</v>
      </c>
      <c r="E48" s="10">
        <v>6</v>
      </c>
      <c r="F48" s="8"/>
    </row>
    <row r="49" spans="1:6" ht="14.25" customHeight="1" x14ac:dyDescent="0.25">
      <c r="A49" s="273"/>
      <c r="B49" s="8" t="s">
        <v>309</v>
      </c>
      <c r="C49" s="8"/>
      <c r="D49" s="9">
        <v>44874.666666666664</v>
      </c>
      <c r="E49" s="10">
        <v>2</v>
      </c>
      <c r="F49" s="8"/>
    </row>
    <row r="50" spans="1:6" ht="14.25" customHeight="1" x14ac:dyDescent="0.25">
      <c r="A50" s="271" t="s">
        <v>310</v>
      </c>
      <c r="B50" s="8" t="s">
        <v>301</v>
      </c>
      <c r="C50" s="15">
        <v>304</v>
      </c>
      <c r="D50" s="9">
        <v>44875.666666666664</v>
      </c>
      <c r="E50" s="10">
        <v>24</v>
      </c>
      <c r="F50" s="8"/>
    </row>
    <row r="51" spans="1:6" ht="14.25" customHeight="1" x14ac:dyDescent="0.25">
      <c r="A51" s="273"/>
      <c r="B51" s="8" t="s">
        <v>306</v>
      </c>
      <c r="C51" s="8"/>
      <c r="D51" s="9">
        <v>44876.083333333336</v>
      </c>
      <c r="E51" s="10">
        <v>10</v>
      </c>
      <c r="F51" s="8"/>
    </row>
    <row r="52" spans="1:6" ht="14.25" customHeight="1" x14ac:dyDescent="0.25">
      <c r="A52" s="283"/>
      <c r="B52" s="284"/>
      <c r="C52" s="284"/>
      <c r="D52" s="284"/>
      <c r="E52" s="284"/>
      <c r="F52" s="285"/>
    </row>
    <row r="53" spans="1:6" ht="14.25" customHeight="1" x14ac:dyDescent="0.25">
      <c r="A53" s="271" t="s">
        <v>311</v>
      </c>
      <c r="B53" s="8" t="s">
        <v>312</v>
      </c>
      <c r="C53" s="8" t="s">
        <v>313</v>
      </c>
      <c r="D53" s="9">
        <v>44878.375</v>
      </c>
      <c r="E53" s="8"/>
      <c r="F53" s="8"/>
    </row>
    <row r="54" spans="1:6" ht="14.25" customHeight="1" x14ac:dyDescent="0.25">
      <c r="A54" s="273"/>
      <c r="B54" s="8" t="s">
        <v>311</v>
      </c>
      <c r="C54" s="8"/>
      <c r="D54" s="9">
        <v>44878.791666666664</v>
      </c>
      <c r="E54" s="10">
        <v>10</v>
      </c>
      <c r="F54" s="8"/>
    </row>
  </sheetData>
  <mergeCells count="16">
    <mergeCell ref="C13:C14"/>
    <mergeCell ref="C37:C43"/>
    <mergeCell ref="A46:A49"/>
    <mergeCell ref="A36:F36"/>
    <mergeCell ref="A53:A54"/>
    <mergeCell ref="B13:B14"/>
    <mergeCell ref="A21:F21"/>
    <mergeCell ref="A13:A14"/>
    <mergeCell ref="A50:A51"/>
    <mergeCell ref="A22:A26"/>
    <mergeCell ref="A37:A44"/>
    <mergeCell ref="E13:E14"/>
    <mergeCell ref="A28:A34"/>
    <mergeCell ref="A52:F52"/>
    <mergeCell ref="A45:F45"/>
    <mergeCell ref="A27:F27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Full Documentation List (2)</vt:lpstr>
      <vt:lpstr>Project Plan</vt:lpstr>
      <vt:lpstr>QC Documentation List</vt:lpstr>
      <vt:lpstr>已完成-行动项</vt:lpstr>
      <vt:lpstr>PV排产计划表-原始</vt:lpstr>
      <vt:lpstr>15 kg 毒理批排产计划表-221115 已完成 9.38</vt:lpstr>
      <vt:lpstr>'Full Documentation List (2)'!_FilterDatabase</vt:lpstr>
      <vt:lpstr>'Project Plan'!_FilterDatabase</vt:lpstr>
      <vt:lpstr>'QC Documentation List'!_FilterDatabase</vt:lpstr>
      <vt:lpstr>'Full Documentation List (2)'!OLE_LINK10</vt:lpstr>
      <vt:lpstr>'Full Documentation List (2)'!OLE_LINK13</vt:lpstr>
      <vt:lpstr>'QC Documentation List'!OLE_LINK13</vt:lpstr>
      <vt:lpstr>'Full Documentation List (2)'!OLE_LINK14</vt:lpstr>
      <vt:lpstr>'QC Documentation List'!OLE_LINK14</vt:lpstr>
      <vt:lpstr>'Full Documentation List (2)'!OLE_LINK18</vt:lpstr>
      <vt:lpstr>'Full Documentation List (2)'!OLE_LINK23</vt:lpstr>
      <vt:lpstr>'QC Documentation List'!OLE_LINK23</vt:lpstr>
      <vt:lpstr>'Full Documentation List (2)'!OLE_LINK24</vt:lpstr>
      <vt:lpstr>'QC Documentation List'!OLE_LINK24</vt:lpstr>
      <vt:lpstr>'Full Documentation List (2)'!OLE_LINK25</vt:lpstr>
      <vt:lpstr>'QC Documentation List'!OLE_LINK25</vt:lpstr>
      <vt:lpstr>'Full Documentation List (2)'!OLE_LINK26</vt:lpstr>
      <vt:lpstr>'QC Documentation List'!OLE_LINK26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  <vt:lpstr>'QC Documentation List'!OLE_LINK8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Shuhuan Wang</cp:lastModifiedBy>
  <dcterms:created xsi:type="dcterms:W3CDTF">2006-09-16T00:00:00Z</dcterms:created>
  <dcterms:modified xsi:type="dcterms:W3CDTF">2026-10-22T06:02:05Z</dcterms:modified>
</cp:coreProperties>
</file>