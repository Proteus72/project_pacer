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180" windowHeight="7710" firstSheet="1" activeTab="1"/>
  </bookViews>
  <sheets>
    <sheet name="Full Documentation List (2)" sheetId="6" state="hidden" r:id="rId1"/>
    <sheet name="Project Plan" sheetId="1" r:id="rId2"/>
    <sheet name="已完成-行动项" sheetId="3" state="hidden" r:id="rId3"/>
    <sheet name="PV排产计划表-原始" sheetId="4" state="hidden" r:id="rId4"/>
    <sheet name="15 kg 毒理批排产计划表-221115 已完成 9.38" sheetId="5" state="hidden" r:id="rId5"/>
  </sheets>
  <definedNames>
    <definedName name="_xlnm._FilterDatabase" localSheetId="0" hidden="1">'Full Documentation List (2)'!$A$2:$J$47</definedName>
    <definedName name="_xlnm._FilterDatabase" localSheetId="1" hidden="1">'Project Plan'!$A$8:$K$129</definedName>
    <definedName name="OLE_LINK10" localSheetId="0">'Full Documentation List (2)'!$C$46</definedName>
    <definedName name="OLE_LINK11" localSheetId="0">'Full Documentation List (2)'!#REF!</definedName>
    <definedName name="OLE_LINK12" localSheetId="0">'Full Documentation List (2)'!#REF!</definedName>
    <definedName name="OLE_LINK13" localSheetId="0">'Full Documentation List (2)'!$C$60</definedName>
    <definedName name="OLE_LINK14" localSheetId="0">'Full Documentation List (2)'!$D$55</definedName>
    <definedName name="OLE_LINK18" localSheetId="0">'Full Documentation List (2)'!$C$44</definedName>
    <definedName name="OLE_LINK21" localSheetId="0">'Full Documentation List (2)'!#REF!</definedName>
    <definedName name="OLE_LINK22" localSheetId="0">'Full Documentation List (2)'!#REF!</definedName>
    <definedName name="OLE_LINK23" localSheetId="0">'Full Documentation List (2)'!$C$51</definedName>
    <definedName name="OLE_LINK24" localSheetId="0">'Full Documentation List (2)'!$C$50</definedName>
    <definedName name="OLE_LINK25" localSheetId="0">'Full Documentation List (2)'!$C$55</definedName>
    <definedName name="OLE_LINK26" localSheetId="0">'Full Documentation List (2)'!$C$59</definedName>
    <definedName name="OLE_LINK29" localSheetId="0">'Full Documentation List (2)'!$F$45</definedName>
    <definedName name="OLE_LINK3" localSheetId="0">'Full Documentation List (2)'!$C$14</definedName>
    <definedName name="OLE_LINK4" localSheetId="0">'Full Documentation List (2)'!#REF!</definedName>
    <definedName name="OLE_LINK5" localSheetId="0">'Full Documentation List (2)'!$C$40</definedName>
    <definedName name="OLE_LINK6" localSheetId="0">'Full Documentation List (2)'!#REF!</definedName>
    <definedName name="OLE_LINK7" localSheetId="0">'Full Documentation List (2)'!$F$31</definedName>
    <definedName name="OLE_LINK8" localSheetId="0">'Full Documentation List (2)'!$C$65</definedName>
    <definedName name="OLE_LINK9" localSheetId="0">'Full Documentation List (2)'!#REF!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  <c r="B126" i="1"/>
  <c r="B127" i="1"/>
  <c r="B128" i="1"/>
  <c r="B129" i="1"/>
  <c r="B124" i="1"/>
  <c r="B122" i="1"/>
  <c r="B112" i="1"/>
  <c r="B113" i="1"/>
  <c r="B114" i="1"/>
  <c r="B115" i="1"/>
  <c r="B116" i="1"/>
  <c r="B117" i="1"/>
  <c r="B118" i="1"/>
  <c r="B119" i="1"/>
  <c r="B120" i="1"/>
  <c r="B121" i="1"/>
  <c r="B111" i="1"/>
  <c r="B105" i="1"/>
  <c r="B106" i="1"/>
  <c r="B107" i="1"/>
  <c r="B108" i="1"/>
  <c r="B109" i="1"/>
  <c r="B104" i="1"/>
  <c r="B98" i="1"/>
  <c r="B99" i="1"/>
  <c r="B100" i="1"/>
  <c r="B101" i="1"/>
  <c r="B102" i="1"/>
  <c r="B97" i="1"/>
  <c r="B95" i="1"/>
  <c r="B90" i="1"/>
  <c r="B91" i="1"/>
  <c r="B92" i="1"/>
  <c r="B89" i="1"/>
  <c r="B87" i="1"/>
  <c r="B86" i="1"/>
  <c r="B84" i="1"/>
  <c r="B83" i="1"/>
  <c r="B81" i="1"/>
  <c r="B80" i="1"/>
  <c r="B71" i="1"/>
  <c r="B72" i="1"/>
  <c r="B73" i="1"/>
  <c r="B74" i="1"/>
  <c r="B75" i="1"/>
  <c r="B76" i="1"/>
  <c r="B77" i="1"/>
  <c r="B70" i="1"/>
  <c r="B20" i="1"/>
  <c r="B18" i="1" l="1"/>
  <c r="B22" i="1" l="1"/>
  <c r="B21" i="1"/>
  <c r="H31" i="6" l="1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18" i="6"/>
  <c r="I18" i="6" s="1"/>
  <c r="H17" i="6"/>
  <c r="I17" i="6" s="1"/>
  <c r="H16" i="6"/>
  <c r="I16" i="6" s="1"/>
  <c r="H13" i="6"/>
  <c r="I13" i="6" s="1"/>
  <c r="H12" i="6"/>
  <c r="I12" i="6" s="1"/>
  <c r="H11" i="6"/>
  <c r="I11" i="6" s="1"/>
  <c r="H8" i="6"/>
  <c r="I8" i="6" s="1"/>
  <c r="H7" i="6"/>
  <c r="I7" i="6" s="1"/>
  <c r="H5" i="6"/>
  <c r="I5" i="6" s="1"/>
  <c r="B16" i="1" l="1"/>
  <c r="B17" i="1"/>
  <c r="I129" i="1" l="1"/>
  <c r="I128" i="1"/>
  <c r="I127" i="1"/>
  <c r="I126" i="1"/>
  <c r="I125" i="1"/>
  <c r="I124" i="1"/>
  <c r="F123" i="1"/>
  <c r="E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F110" i="1"/>
  <c r="E110" i="1"/>
  <c r="I109" i="1"/>
  <c r="I108" i="1"/>
  <c r="I107" i="1"/>
  <c r="I106" i="1"/>
  <c r="I105" i="1"/>
  <c r="I104" i="1"/>
  <c r="F103" i="1"/>
  <c r="E103" i="1"/>
  <c r="I102" i="1"/>
  <c r="I101" i="1"/>
  <c r="I100" i="1"/>
  <c r="I99" i="1"/>
  <c r="I98" i="1"/>
  <c r="I97" i="1"/>
  <c r="F96" i="1"/>
  <c r="E96" i="1"/>
  <c r="I95" i="1"/>
  <c r="F94" i="1"/>
  <c r="E94" i="1"/>
  <c r="I92" i="1"/>
  <c r="I91" i="1"/>
  <c r="I90" i="1"/>
  <c r="I89" i="1"/>
  <c r="F88" i="1"/>
  <c r="E88" i="1"/>
  <c r="I87" i="1"/>
  <c r="I86" i="1"/>
  <c r="F85" i="1"/>
  <c r="E85" i="1"/>
  <c r="I84" i="1"/>
  <c r="I83" i="1"/>
  <c r="F82" i="1"/>
  <c r="E82" i="1"/>
  <c r="I81" i="1"/>
  <c r="I80" i="1"/>
  <c r="F79" i="1"/>
  <c r="E7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F55" i="1"/>
  <c r="E55" i="1"/>
  <c r="I54" i="1"/>
  <c r="B54" i="1"/>
  <c r="I53" i="1"/>
  <c r="B53" i="1"/>
  <c r="I52" i="1"/>
  <c r="B52" i="1"/>
  <c r="I51" i="1"/>
  <c r="B51" i="1"/>
  <c r="I50" i="1"/>
  <c r="B50" i="1"/>
  <c r="I49" i="1"/>
  <c r="B49" i="1"/>
  <c r="J48" i="1"/>
  <c r="I48" i="1"/>
  <c r="B48" i="1"/>
  <c r="J47" i="1"/>
  <c r="I47" i="1"/>
  <c r="B47" i="1"/>
  <c r="F46" i="1"/>
  <c r="E46" i="1"/>
  <c r="I45" i="1"/>
  <c r="B45" i="1"/>
  <c r="I44" i="1"/>
  <c r="B44" i="1"/>
  <c r="I43" i="1"/>
  <c r="B43" i="1"/>
  <c r="I42" i="1"/>
  <c r="B42" i="1"/>
  <c r="I41" i="1"/>
  <c r="B41" i="1"/>
  <c r="J40" i="1"/>
  <c r="I40" i="1"/>
  <c r="B40" i="1"/>
  <c r="J39" i="1"/>
  <c r="I39" i="1"/>
  <c r="B39" i="1"/>
  <c r="J38" i="1"/>
  <c r="I38" i="1"/>
  <c r="B38" i="1"/>
  <c r="J37" i="1"/>
  <c r="I37" i="1"/>
  <c r="B37" i="1"/>
  <c r="I36" i="1"/>
  <c r="B36" i="1"/>
  <c r="F35" i="1"/>
  <c r="E35" i="1"/>
  <c r="J34" i="1"/>
  <c r="I34" i="1"/>
  <c r="B34" i="1"/>
  <c r="I33" i="1"/>
  <c r="B33" i="1"/>
  <c r="J32" i="1"/>
  <c r="I32" i="1"/>
  <c r="B32" i="1"/>
  <c r="J31" i="1"/>
  <c r="I31" i="1"/>
  <c r="B31" i="1"/>
  <c r="J30" i="1"/>
  <c r="I30" i="1"/>
  <c r="B30" i="1"/>
  <c r="J29" i="1"/>
  <c r="I29" i="1"/>
  <c r="B29" i="1"/>
  <c r="J28" i="1"/>
  <c r="I28" i="1"/>
  <c r="B28" i="1"/>
  <c r="I27" i="1"/>
  <c r="B27" i="1"/>
  <c r="J26" i="1"/>
  <c r="I26" i="1"/>
  <c r="B26" i="1"/>
  <c r="I25" i="1"/>
  <c r="B25" i="1"/>
  <c r="J24" i="1"/>
  <c r="I24" i="1"/>
  <c r="B24" i="1"/>
  <c r="J23" i="1"/>
  <c r="I23" i="1"/>
  <c r="B23" i="1"/>
  <c r="I22" i="1"/>
  <c r="J21" i="1"/>
  <c r="I21" i="1"/>
  <c r="J20" i="1"/>
  <c r="I20" i="1"/>
  <c r="F19" i="1"/>
  <c r="E19" i="1"/>
  <c r="I15" i="1"/>
  <c r="B15" i="1"/>
  <c r="E14" i="1"/>
  <c r="B14" i="1"/>
  <c r="J13" i="1"/>
  <c r="I13" i="1"/>
  <c r="B13" i="1"/>
  <c r="I12" i="1"/>
  <c r="B12" i="1"/>
  <c r="J11" i="1"/>
  <c r="E11" i="1"/>
  <c r="I11" i="1" s="1"/>
  <c r="B11" i="1"/>
  <c r="J10" i="1"/>
  <c r="I10" i="1"/>
  <c r="B10" i="1"/>
  <c r="F9" i="1"/>
  <c r="B4" i="1"/>
  <c r="I85" i="1" l="1"/>
  <c r="I88" i="1"/>
  <c r="I110" i="1"/>
  <c r="I35" i="1"/>
  <c r="I94" i="1"/>
  <c r="I19" i="1"/>
  <c r="I79" i="1"/>
  <c r="I103" i="1"/>
  <c r="E93" i="1"/>
  <c r="F93" i="1"/>
  <c r="E9" i="1"/>
  <c r="I9" i="1" s="1"/>
  <c r="I82" i="1"/>
  <c r="I123" i="1"/>
  <c r="I46" i="1"/>
  <c r="I96" i="1"/>
  <c r="I14" i="1"/>
  <c r="I93" i="1" l="1"/>
  <c r="E78" i="1"/>
  <c r="I78" i="1"/>
  <c r="F78" i="1"/>
</calcChain>
</file>

<file path=xl/sharedStrings.xml><?xml version="1.0" encoding="utf-8"?>
<sst xmlns="http://schemas.openxmlformats.org/spreadsheetml/2006/main" count="915" uniqueCount="414">
  <si>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</si>
  <si>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</si>
  <si>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</si>
  <si>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</si>
  <si>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</si>
  <si>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</si>
  <si>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</si>
  <si>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</si>
  <si>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</si>
  <si>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</si>
  <si>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</si>
  <si>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</si>
  <si>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</si>
  <si>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</si>
  <si>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</si>
  <si>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</si>
  <si>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</si>
  <si>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</si>
  <si>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</si>
  <si>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</si>
  <si>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</si>
  <si>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</si>
  <si>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</si>
  <si>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</si>
  <si>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</si>
  <si>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</si>
  <si>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</si>
  <si>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</si>
  <si>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</si>
  <si>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</si>
  <si>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</si>
  <si>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</si>
  <si>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</si>
  <si>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  <phoneticPr fontId="1" type="noConversion"/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</si>
  <si>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</si>
  <si>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</si>
  <si>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  <phoneticPr fontId="1" type="noConversion"/>
  </si>
  <si>
    <t xml:space="preserve">Update IPC specs </t>
  </si>
  <si>
    <t>Updated based on customer comments</t>
    <phoneticPr fontId="1" type="noConversion"/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</si>
  <si>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</si>
  <si>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</si>
  <si>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</si>
  <si>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</si>
  <si>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</si>
  <si>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</si>
  <si>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</si>
  <si>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</si>
  <si>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</si>
  <si>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</si>
  <si>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</si>
  <si>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</si>
  <si>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</si>
  <si>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</si>
  <si>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</si>
  <si>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</si>
  <si>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</si>
  <si>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</si>
  <si>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</si>
  <si>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</si>
  <si>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</si>
  <si>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</si>
  <si>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</si>
  <si>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</si>
  <si>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</si>
  <si>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</si>
  <si>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</si>
  <si>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</si>
  <si>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</si>
  <si>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</si>
  <si>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</si>
  <si>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</si>
  <si>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</si>
  <si>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  <phoneticPr fontId="1" type="noConversion"/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</si>
  <si>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</si>
  <si>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</si>
  <si>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</si>
  <si>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</si>
  <si>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</si>
  <si>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</si>
  <si>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</si>
  <si>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</si>
  <si>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</si>
  <si>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</si>
  <si>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</si>
  <si>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</si>
  <si>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</si>
  <si>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</si>
  <si>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</si>
  <si>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</si>
  <si>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</si>
  <si>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</si>
  <si>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</si>
  <si>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</si>
  <si>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AR882</t>
  </si>
  <si>
    <t>Start Date</t>
  </si>
  <si>
    <t>Finish Date</t>
  </si>
  <si>
    <t>Project Period</t>
  </si>
  <si>
    <t>Gantt Chart (Time Unit)</t>
  </si>
  <si>
    <t>Day</t>
  </si>
  <si>
    <t>Project Plan</t>
  </si>
  <si>
    <t>Work Scope</t>
  </si>
  <si>
    <t>Task ID</t>
  </si>
  <si>
    <t>Task Description</t>
  </si>
  <si>
    <t>Owner</t>
  </si>
  <si>
    <t>Duration</t>
  </si>
  <si>
    <t>Pre-production Preparation</t>
  </si>
  <si>
    <t>Preparation</t>
  </si>
  <si>
    <t>Coutersigned PO</t>
  </si>
  <si>
    <t>Upfront Payment</t>
  </si>
  <si>
    <t>Quality Agreement</t>
  </si>
  <si>
    <t>Cherry Chen</t>
  </si>
  <si>
    <t>Installation / Replacement of 6300L/8000L *2 reactors</t>
  </si>
  <si>
    <t>Kaiyue Tao</t>
  </si>
  <si>
    <t>Qualification of 6300L/8000L *2 reactors</t>
  </si>
  <si>
    <t>Audit prior to PPQ production</t>
  </si>
  <si>
    <t>PGIs justification report</t>
  </si>
  <si>
    <t>Investigation on SM2 appearance variations</t>
  </si>
  <si>
    <t>Use test of SM2 (3 batches) to INT 1</t>
  </si>
  <si>
    <t>Analytical Method Validation Report</t>
  </si>
  <si>
    <t>SM1</t>
  </si>
  <si>
    <t>Method validation report of Water content for SM1</t>
  </si>
  <si>
    <t>Method validation report of Identification and ROI by FTIR for SM1</t>
  </si>
  <si>
    <t>Method validation report of Identification by FTIR（ATR) for SM1</t>
  </si>
  <si>
    <t>SM2</t>
  </si>
  <si>
    <t>Method validation report of Water content for SM2</t>
  </si>
  <si>
    <t>Method validation report of Identification and ROI by FTIR for SM2</t>
  </si>
  <si>
    <t>AS03N</t>
  </si>
  <si>
    <t>Method validation report of particle size  for AS03N</t>
  </si>
  <si>
    <t>Method validation report of Identification by FTIR/Water content of INTs</t>
  </si>
  <si>
    <t>Method validation report of IPC1 (AS01N Reaction Solution)</t>
  </si>
  <si>
    <t>Method validation report of IPC2 (AS01N Reaction Solution)</t>
  </si>
  <si>
    <t>Method validation report of IPC4 (AS02N Reaction Solution)</t>
  </si>
  <si>
    <t>Method validation report of IPC6 (AS00N Reaction Solution)</t>
  </si>
  <si>
    <t>Method validation report of IPC7 &amp; IPC8 (Water content)</t>
  </si>
  <si>
    <t>Method validation report of IPC3, 5 (Residual solvents by HSGC)</t>
  </si>
  <si>
    <t>Method validation report of Coulometric Water content for AR882</t>
  </si>
  <si>
    <t>Method validation report of Residual Benzene and Dichloromethane by GC</t>
  </si>
  <si>
    <t>RSM Manufacture (AR01-SM1 / WT04N)</t>
  </si>
  <si>
    <t>Documentation</t>
  </si>
  <si>
    <t>Documentation for AR-SM1 manufacture</t>
  </si>
  <si>
    <t>Material</t>
  </si>
  <si>
    <t>Materials purchasing</t>
  </si>
  <si>
    <t>Alex Xu</t>
  </si>
  <si>
    <t>AR01-SM1 Production
(last step under GMP, 1136kg)</t>
  </si>
  <si>
    <t>AR01-3 (2 lots) production</t>
  </si>
  <si>
    <t>AR01-4 (3 lots) production</t>
  </si>
  <si>
    <t>AR01-6 (4 lots) production</t>
  </si>
  <si>
    <t>AR01-7 (7 lots) production</t>
  </si>
  <si>
    <t>SM1 (7 lots) production under GMP</t>
  </si>
  <si>
    <t>Zongjun Liu</t>
  </si>
  <si>
    <t>Release test of SM1 (1-3 lots)</t>
  </si>
  <si>
    <t>Release test of SM1 (4-7 lots)</t>
  </si>
  <si>
    <t>RSM Manufacture (AR01-SM2 / DF02N)</t>
  </si>
  <si>
    <t>Documentation for AR-SM2 manufacture</t>
  </si>
  <si>
    <t>Wenxxiang Zhou</t>
  </si>
  <si>
    <t>Update SM2 analytical method</t>
  </si>
  <si>
    <t>Xinyi Zhao</t>
  </si>
  <si>
    <t>AR01-SM2 Production
(last step under GMP, 445kg)</t>
  </si>
  <si>
    <t>AR01-9 (14 lots) production</t>
  </si>
  <si>
    <t>SM2 (9 lots) production under GMP</t>
  </si>
  <si>
    <t>Release test of SM2 (1-3 lots)</t>
  </si>
  <si>
    <t>Release test of SM2 (4-6 lots)</t>
  </si>
  <si>
    <t>Release test of SM2 (7-9 lots)</t>
  </si>
  <si>
    <t>Documentation before PPQ Manufacture</t>
  </si>
  <si>
    <t>Xubo Zheng</t>
  </si>
  <si>
    <t>Update intermediate specifications</t>
  </si>
  <si>
    <t>Li Ji</t>
  </si>
  <si>
    <t xml:space="preserve">Establish the drying profile study protocol for AS00N </t>
  </si>
  <si>
    <t xml:space="preserve">Establish the homogeneity study protocol for AS00N </t>
  </si>
  <si>
    <t>Establish the stability study protocol for AS00N</t>
  </si>
  <si>
    <t>Establish the holding time study protocol for AS01N and AS02N</t>
  </si>
  <si>
    <t>OOS Investigation on SM2 appearance variations</t>
  </si>
  <si>
    <t>Laboratory Investigation</t>
  </si>
  <si>
    <t>Production and sampling investigation</t>
  </si>
  <si>
    <t>Other investigation - use test</t>
  </si>
  <si>
    <t>Additional laboratory investigation - Iodine test of SM2</t>
  </si>
  <si>
    <t>Investigations report (including CAPA)</t>
  </si>
  <si>
    <t>Change control</t>
  </si>
  <si>
    <t>Quality specification</t>
  </si>
  <si>
    <t>Test and release according to update spec.</t>
  </si>
  <si>
    <t>Prospective Batch Manufacture</t>
  </si>
  <si>
    <t>INT-1  Prospective Production</t>
  </si>
  <si>
    <t>INT-1 Production</t>
  </si>
  <si>
    <t>INT-1 (prospective batch) prodution (Include cleaning)</t>
  </si>
  <si>
    <t>Release test of INT-1(prospective batch)</t>
  </si>
  <si>
    <t>INT-2  Prospective  Production</t>
  </si>
  <si>
    <t>INT-2 Production</t>
  </si>
  <si>
    <t>INT-2 (prospective batch) prodution (Include cleaning)</t>
  </si>
  <si>
    <t>Release test of INT-2 (prospective batch)</t>
  </si>
  <si>
    <t>Unmilled AR882 Prospective  Production</t>
  </si>
  <si>
    <t>Unmilled AR882 Production</t>
  </si>
  <si>
    <t>Unmilled AR882 (prospective batch) production (Include cleaning)</t>
  </si>
  <si>
    <t>Release testing of Unmilled AR882 (prospective batch)</t>
  </si>
  <si>
    <t>Jet mill Prospective  Production</t>
  </si>
  <si>
    <t>Jet mill for pre-PPQ Production</t>
  </si>
  <si>
    <t>Jet mill for prospective batch (Include cleaning)</t>
  </si>
  <si>
    <t>Release test of AR882 (prospective batch)</t>
  </si>
  <si>
    <t>Richard Huang</t>
  </si>
  <si>
    <t>Shipment of AR882 (Prospective batch)</t>
  </si>
  <si>
    <t>Aiming Peng</t>
  </si>
  <si>
    <t>PPQ Manufacture</t>
  </si>
  <si>
    <t>Purchase</t>
  </si>
  <si>
    <t>All materials purchasing and release</t>
    <phoneticPr fontId="1" type="noConversion"/>
  </si>
  <si>
    <t>INT-1 PPQ Manufacture</t>
  </si>
  <si>
    <t>INT-1 PPQ1</t>
  </si>
  <si>
    <t>INT-1 (batch2) production (Include cleaning)</t>
  </si>
  <si>
    <t>Release test of INT-1 (batch2)</t>
  </si>
  <si>
    <t>INT-1 PPQ2</t>
  </si>
  <si>
    <t>INT-1 (batch3) production</t>
  </si>
  <si>
    <t>Release test of INT-1 (batch3)</t>
  </si>
  <si>
    <t>INT-1 PPQ3</t>
  </si>
  <si>
    <t>INT-1 (batch4) production (Include cleaning)</t>
  </si>
  <si>
    <t>Release test of INT-1 (batch4)</t>
  </si>
  <si>
    <t>INT-2 PPQ Manufacture</t>
  </si>
  <si>
    <t>INT-2 PPQ1</t>
  </si>
  <si>
    <t>Release test of INT-2 (batch2)</t>
  </si>
  <si>
    <t>INT-2 PPQ2</t>
  </si>
  <si>
    <t>INT-2 (batch3) production</t>
  </si>
  <si>
    <t>Release test of INT-2 (batch3)</t>
  </si>
  <si>
    <t>INT-2 PPQ3</t>
  </si>
  <si>
    <t>INT-2 (batch4) production (Include cleaning)</t>
  </si>
  <si>
    <t>Release test of INT-2 (batch4)</t>
  </si>
  <si>
    <t>AR882 PPQ Manufacture</t>
  </si>
  <si>
    <t>AR882-PPQ1</t>
  </si>
  <si>
    <t>Unmilled AR882 (batch2) production (Include cleaning)</t>
  </si>
  <si>
    <t>Release testing of Unmilled AR882 (batch2)</t>
  </si>
  <si>
    <t>Jet mill for batch2 (Including cleaning)</t>
  </si>
  <si>
    <t>Release test of AR882 (batch2)</t>
  </si>
  <si>
    <t>AR882-PPQ2</t>
  </si>
  <si>
    <t>Unmilled AR882 (batch3) production</t>
  </si>
  <si>
    <t>Release testing of Unmilled AR882 (batch3)</t>
  </si>
  <si>
    <t>Jet mill for batch3</t>
  </si>
  <si>
    <t>Release test of AR882 (batch3)</t>
  </si>
  <si>
    <t>AR882-PPQ3</t>
  </si>
  <si>
    <t>Unmilled AR882 (batch4) production (Include cleaning)</t>
  </si>
  <si>
    <t>Release testing of Unmilled AR882 (batch4)</t>
  </si>
  <si>
    <t>Jet mill for batch4 (Including Cleanging)</t>
  </si>
  <si>
    <t>Release testing of AR882 (batch4)</t>
  </si>
  <si>
    <t>Reports, Release and Shipment</t>
  </si>
  <si>
    <t xml:space="preserve">Establish the drying profile study report for AS00N </t>
  </si>
  <si>
    <t xml:space="preserve">Establish the homogeneity study report for AS00N </t>
  </si>
  <si>
    <t>Release of AR882 / AS00N</t>
  </si>
  <si>
    <t>Shipment of AR882 / As00N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</si>
  <si>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</si>
  <si>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</si>
  <si>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</si>
  <si>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</si>
  <si>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</si>
  <si>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</si>
  <si>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</si>
  <si>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</si>
  <si>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</si>
  <si>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</si>
  <si>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</si>
  <si>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</si>
  <si>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</si>
  <si>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</si>
  <si>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</si>
  <si>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</si>
  <si>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</si>
  <si>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</si>
  <si>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</si>
  <si>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</si>
  <si>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</si>
  <si>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</si>
  <si>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</si>
  <si>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</si>
  <si>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</si>
  <si>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</si>
  <si>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</si>
  <si>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</si>
  <si>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</si>
  <si>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</si>
  <si>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</si>
  <si>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</si>
  <si>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</si>
  <si>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</si>
  <si>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</si>
  <si>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</si>
  <si>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</si>
  <si>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</si>
  <si>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</si>
  <si>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</si>
  <si>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</si>
  <si>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</si>
  <si>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</si>
  <si>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</si>
  <si>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</si>
  <si>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</si>
  <si>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</si>
  <si>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</si>
  <si>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</si>
  <si>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</si>
  <si>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</si>
  <si>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</si>
  <si>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</si>
  <si>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</si>
  <si>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</si>
  <si>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</si>
  <si>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</si>
  <si>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</si>
  <si>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</si>
  <si>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</si>
  <si>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</si>
  <si>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</si>
  <si>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</si>
  <si>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</si>
  <si>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</si>
  <si>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</si>
  <si>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</si>
  <si>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</si>
  <si>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</si>
  <si>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</si>
  <si>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</si>
  <si>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</si>
  <si>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</si>
  <si>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</si>
  <si>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</si>
  <si>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</si>
  <si>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</si>
  <si>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</si>
  <si>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</si>
  <si>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</si>
  <si>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</si>
  <si>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</si>
  <si>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</si>
  <si>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</si>
  <si>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</si>
  <si>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</si>
  <si>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</si>
  <si>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</si>
  <si>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</si>
  <si>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</si>
  <si>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</si>
  <si>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</si>
  <si>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</si>
  <si>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</si>
  <si>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</si>
  <si>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</si>
  <si>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</si>
  <si>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</si>
  <si>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</si>
  <si>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</si>
  <si>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</si>
  <si>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</si>
  <si>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</si>
  <si>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</si>
  <si>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</si>
  <si>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</si>
  <si>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</si>
  <si>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</si>
  <si>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</si>
  <si>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</si>
  <si>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</si>
  <si>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</si>
  <si>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</si>
  <si>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</si>
  <si>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</si>
  <si>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</si>
  <si>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</si>
  <si>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</si>
  <si>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</si>
  <si>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</si>
  <si>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</si>
  <si>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</si>
  <si>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</si>
  <si>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</si>
  <si>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</si>
  <si>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</si>
  <si>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</si>
  <si>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</si>
  <si>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</si>
  <si>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</si>
  <si>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</si>
  <si>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</si>
  <si>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</si>
  <si>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</si>
  <si>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</si>
  <si>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</si>
  <si>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</si>
  <si>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</si>
  <si>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</si>
  <si>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</si>
  <si>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</si>
  <si>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</si>
  <si>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</si>
  <si>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</si>
  <si>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</si>
  <si>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</si>
  <si>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</si>
  <si>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</si>
  <si>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</si>
  <si>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</si>
  <si>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</si>
  <si>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</si>
  <si>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</si>
  <si>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</si>
  <si>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</si>
  <si>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</si>
  <si>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</si>
  <si>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</si>
  <si>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</si>
  <si>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</si>
  <si>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</si>
  <si>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</si>
  <si>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</si>
  <si>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</si>
  <si>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</si>
  <si>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</si>
  <si>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</si>
  <si>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</si>
  <si>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</si>
  <si>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</si>
  <si>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INT-2 (batch2) production (Include cleaning)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</si>
</sst>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2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C55A1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176" fontId="0" fillId="0" borderId="0">
      <alignment vertical="center"/>
    </xf>
  </cellStyleXfs>
  <cellXfs count="192">
    <xf numFmtId="176" fontId="0" fillId="0" borderId="0" xfId="0">
      <alignment vertical="center"/>
    </xf>
    <xf numFmtId="14" fontId="2" fillId="0" borderId="0" xfId="0" applyNumberFormat="1" applyFont="1" applyAlignment="1">
      <alignment horizontal="right"/>
    </xf>
    <xf numFmtId="176" fontId="2" fillId="0" borderId="0" xfId="0" applyFont="1" applyAlignment="1">
      <alignment vertical="top" wrapText="1"/>
    </xf>
    <xf numFmtId="176" fontId="3" fillId="2" borderId="1" xfId="0" applyFont="1" applyFill="1" applyBorder="1" applyAlignment="1"/>
    <xf numFmtId="176" fontId="3" fillId="2" borderId="2" xfId="0" applyFont="1" applyFill="1" applyBorder="1" applyAlignment="1"/>
    <xf numFmtId="176" fontId="3" fillId="2" borderId="1" xfId="0" applyFont="1" applyFill="1" applyBorder="1" applyAlignment="1">
      <alignment horizontal="left" vertical="center"/>
    </xf>
    <xf numFmtId="176" fontId="2" fillId="3" borderId="0" xfId="0" applyFont="1" applyFill="1" applyAlignment="1"/>
    <xf numFmtId="176" fontId="4" fillId="0" borderId="0" xfId="0" applyFont="1">
      <alignment vertical="center"/>
    </xf>
    <xf numFmtId="176" fontId="5" fillId="0" borderId="0" xfId="0" applyFont="1">
      <alignment vertical="center"/>
    </xf>
    <xf numFmtId="176" fontId="6" fillId="0" borderId="3" xfId="0" applyFont="1" applyBorder="1">
      <alignment vertical="center"/>
    </xf>
    <xf numFmtId="22" fontId="6" fillId="0" borderId="3" xfId="0" applyNumberFormat="1" applyFont="1" applyBorder="1" applyAlignment="1">
      <alignment horizontal="right" vertical="center"/>
    </xf>
    <xf numFmtId="176" fontId="6" fillId="0" borderId="3" xfId="0" applyFont="1" applyBorder="1" applyAlignment="1">
      <alignment horizontal="right" vertical="center"/>
    </xf>
    <xf numFmtId="22" fontId="7" fillId="0" borderId="3" xfId="0" applyNumberFormat="1" applyFont="1" applyBorder="1" applyAlignment="1">
      <alignment horizontal="right" vertical="center"/>
    </xf>
    <xf numFmtId="176" fontId="7" fillId="0" borderId="3" xfId="0" applyFont="1" applyBorder="1" applyAlignment="1">
      <alignment horizontal="right" vertical="center"/>
    </xf>
    <xf numFmtId="176" fontId="7" fillId="0" borderId="3" xfId="0" applyFont="1" applyBorder="1">
      <alignment vertical="center"/>
    </xf>
    <xf numFmtId="176" fontId="6" fillId="0" borderId="4" xfId="0" applyFont="1" applyBorder="1">
      <alignment vertical="center"/>
    </xf>
    <xf numFmtId="176" fontId="6" fillId="0" borderId="3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 wrapText="1"/>
    </xf>
    <xf numFmtId="176" fontId="6" fillId="3" borderId="3" xfId="0" applyFont="1" applyFill="1" applyBorder="1" applyAlignment="1">
      <alignment horizontal="center" vertical="center" wrapText="1"/>
    </xf>
    <xf numFmtId="176" fontId="8" fillId="0" borderId="0" xfId="0" applyFont="1">
      <alignment vertical="center"/>
    </xf>
    <xf numFmtId="176" fontId="6" fillId="0" borderId="4" xfId="0" applyFont="1" applyBorder="1" applyAlignment="1">
      <alignment horizontal="center" vertical="center" wrapText="1"/>
    </xf>
    <xf numFmtId="176" fontId="6" fillId="3" borderId="4" xfId="0" applyFont="1" applyFill="1" applyBorder="1" applyAlignment="1">
      <alignment horizontal="center" vertical="center" wrapText="1"/>
    </xf>
    <xf numFmtId="176" fontId="6" fillId="0" borderId="5" xfId="0" applyFont="1" applyBorder="1" applyAlignment="1">
      <alignment horizontal="center" vertical="center" wrapText="1"/>
    </xf>
    <xf numFmtId="176" fontId="6" fillId="0" borderId="5" xfId="0" applyFont="1" applyBorder="1" applyAlignment="1">
      <alignment vertical="center" wrapText="1"/>
    </xf>
    <xf numFmtId="176" fontId="6" fillId="0" borderId="6" xfId="0" applyFont="1" applyBorder="1" applyAlignment="1">
      <alignment vertical="center" wrapText="1"/>
    </xf>
    <xf numFmtId="176" fontId="6" fillId="0" borderId="4" xfId="0" applyFont="1" applyBorder="1" applyAlignment="1">
      <alignment vertical="center" wrapText="1"/>
    </xf>
    <xf numFmtId="176" fontId="6" fillId="0" borderId="3" xfId="0" applyFont="1" applyBorder="1" applyAlignment="1">
      <alignment vertical="center" wrapText="1"/>
    </xf>
    <xf numFmtId="176" fontId="9" fillId="4" borderId="7" xfId="0" applyFont="1" applyFill="1" applyBorder="1" applyAlignment="1">
      <alignment horizontal="center" vertical="center" wrapText="1"/>
    </xf>
    <xf numFmtId="176" fontId="9" fillId="4" borderId="8" xfId="0" applyFont="1" applyFill="1" applyBorder="1" applyAlignment="1">
      <alignment horizontal="center" vertical="center" wrapText="1"/>
    </xf>
    <xf numFmtId="176" fontId="9" fillId="4" borderId="8" xfId="0" applyFont="1" applyFill="1" applyBorder="1">
      <alignment vertical="center"/>
    </xf>
    <xf numFmtId="176" fontId="9" fillId="4" borderId="8" xfId="0" applyFont="1" applyFill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 wrapText="1"/>
    </xf>
    <xf numFmtId="176" fontId="6" fillId="0" borderId="5" xfId="0" applyFont="1" applyBorder="1" applyAlignment="1">
      <alignment horizontal="justify" vertical="center" wrapText="1"/>
    </xf>
    <xf numFmtId="176" fontId="6" fillId="0" borderId="3" xfId="0" applyFont="1" applyBorder="1" applyAlignment="1">
      <alignment horizontal="justify" vertical="center"/>
    </xf>
    <xf numFmtId="176" fontId="6" fillId="3" borderId="3" xfId="0" applyFont="1" applyFill="1" applyBorder="1" applyAlignment="1">
      <alignment horizontal="justify" vertical="center"/>
    </xf>
    <xf numFmtId="176" fontId="6" fillId="3" borderId="3" xfId="0" applyFont="1" applyFill="1" applyBorder="1">
      <alignment vertical="center"/>
    </xf>
    <xf numFmtId="14" fontId="6" fillId="3" borderId="3" xfId="0" applyNumberFormat="1" applyFont="1" applyFill="1" applyBorder="1" applyAlignment="1">
      <alignment horizontal="justify" vertical="center"/>
    </xf>
    <xf numFmtId="14" fontId="6" fillId="0" borderId="3" xfId="0" applyNumberFormat="1" applyFont="1" applyBorder="1" applyAlignment="1">
      <alignment horizontal="justify" vertical="center"/>
    </xf>
    <xf numFmtId="176" fontId="9" fillId="4" borderId="7" xfId="0" applyFont="1" applyFill="1" applyBorder="1" applyAlignment="1">
      <alignment horizontal="justify" vertical="center"/>
    </xf>
    <xf numFmtId="176" fontId="10" fillId="5" borderId="9" xfId="0" applyFont="1" applyFill="1" applyBorder="1">
      <alignment vertical="center"/>
    </xf>
    <xf numFmtId="14" fontId="10" fillId="5" borderId="10" xfId="0" applyNumberFormat="1" applyFont="1" applyFill="1" applyBorder="1" applyAlignment="1">
      <alignment horizontal="left" vertical="center"/>
    </xf>
    <xf numFmtId="176" fontId="10" fillId="5" borderId="11" xfId="0" applyFont="1" applyFill="1" applyBorder="1">
      <alignment vertical="center"/>
    </xf>
    <xf numFmtId="14" fontId="10" fillId="5" borderId="13" xfId="0" applyNumberFormat="1" applyFont="1" applyFill="1" applyBorder="1">
      <alignment vertical="center"/>
    </xf>
    <xf numFmtId="176" fontId="10" fillId="5" borderId="14" xfId="0" applyFont="1" applyFill="1" applyBorder="1" applyAlignment="1">
      <alignment horizontal="center" vertical="center"/>
    </xf>
    <xf numFmtId="1" fontId="10" fillId="5" borderId="11" xfId="0" applyNumberFormat="1" applyFont="1" applyFill="1" applyBorder="1" applyAlignment="1">
      <alignment horizontal="center" vertical="center"/>
    </xf>
    <xf numFmtId="176" fontId="10" fillId="5" borderId="11" xfId="0" applyFont="1" applyFill="1" applyBorder="1" applyAlignment="1">
      <alignment vertical="center" wrapText="1"/>
    </xf>
    <xf numFmtId="14" fontId="10" fillId="5" borderId="11" xfId="0" applyNumberFormat="1" applyFont="1" applyFill="1" applyBorder="1">
      <alignment vertical="center"/>
    </xf>
    <xf numFmtId="176" fontId="10" fillId="5" borderId="11" xfId="0" applyFont="1" applyFill="1" applyBorder="1" applyAlignment="1">
      <alignment horizontal="left" vertical="center" wrapText="1"/>
    </xf>
    <xf numFmtId="176" fontId="11" fillId="6" borderId="11" xfId="0" applyFont="1" applyFill="1" applyBorder="1" applyAlignment="1">
      <alignment vertical="center" wrapText="1"/>
    </xf>
    <xf numFmtId="176" fontId="10" fillId="5" borderId="11" xfId="0" applyFont="1" applyFill="1" applyBorder="1" applyAlignment="1">
      <alignment horizontal="center" vertical="center" wrapText="1"/>
    </xf>
    <xf numFmtId="176" fontId="10" fillId="5" borderId="13" xfId="0" applyFont="1" applyFill="1" applyBorder="1" applyAlignment="1">
      <alignment horizontal="left" vertical="center"/>
    </xf>
    <xf numFmtId="176" fontId="11" fillId="5" borderId="14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horizontal="center" vertical="center" wrapText="1"/>
    </xf>
    <xf numFmtId="14" fontId="11" fillId="5" borderId="10" xfId="0" applyNumberFormat="1" applyFont="1" applyFill="1" applyBorder="1" applyAlignment="1">
      <alignment horizontal="left" vertical="center"/>
    </xf>
    <xf numFmtId="176" fontId="11" fillId="5" borderId="11" xfId="0" applyFont="1" applyFill="1" applyBorder="1" applyAlignment="1">
      <alignment horizontal="center" vertical="center" wrapText="1"/>
    </xf>
    <xf numFmtId="1" fontId="11" fillId="5" borderId="11" xfId="0" applyNumberFormat="1" applyFont="1" applyFill="1" applyBorder="1" applyAlignment="1">
      <alignment horizontal="center" vertical="center"/>
    </xf>
    <xf numFmtId="176" fontId="11" fillId="5" borderId="14" xfId="0" applyFont="1" applyFill="1" applyBorder="1" applyAlignment="1">
      <alignment horizontal="left" vertical="center"/>
    </xf>
    <xf numFmtId="176" fontId="14" fillId="7" borderId="11" xfId="0" applyFont="1" applyFill="1" applyBorder="1" applyAlignment="1">
      <alignment horizontal="left" vertical="center"/>
    </xf>
    <xf numFmtId="14" fontId="15" fillId="5" borderId="10" xfId="0" applyNumberFormat="1" applyFont="1" applyFill="1" applyBorder="1" applyAlignment="1">
      <alignment horizontal="right" vertical="center"/>
    </xf>
    <xf numFmtId="176" fontId="15" fillId="0" borderId="9" xfId="0" applyFont="1" applyBorder="1">
      <alignment vertical="center"/>
    </xf>
    <xf numFmtId="176" fontId="15" fillId="0" borderId="15" xfId="0" applyFont="1" applyBorder="1">
      <alignment vertical="center"/>
    </xf>
    <xf numFmtId="1" fontId="15" fillId="5" borderId="10" xfId="0" applyNumberFormat="1" applyFont="1" applyFill="1" applyBorder="1" applyAlignment="1">
      <alignment horizontal="right" vertical="center"/>
    </xf>
    <xf numFmtId="14" fontId="14" fillId="7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vertical="center" wrapText="1"/>
    </xf>
    <xf numFmtId="176" fontId="14" fillId="7" borderId="10" xfId="0" applyFont="1" applyFill="1" applyBorder="1" applyAlignment="1">
      <alignment horizontal="center" vertical="center"/>
    </xf>
    <xf numFmtId="176" fontId="15" fillId="0" borderId="0" xfId="0" applyFont="1">
      <alignment vertical="center"/>
    </xf>
    <xf numFmtId="14" fontId="10" fillId="5" borderId="11" xfId="0" applyNumberFormat="1" applyFont="1" applyFill="1" applyBorder="1" applyAlignment="1">
      <alignment horizontal="right" vertical="center"/>
    </xf>
    <xf numFmtId="14" fontId="11" fillId="5" borderId="11" xfId="0" applyNumberFormat="1" applyFont="1" applyFill="1" applyBorder="1" applyAlignment="1">
      <alignment horizontal="right" vertical="center"/>
    </xf>
    <xf numFmtId="176" fontId="15" fillId="0" borderId="0" xfId="0" applyFont="1" applyAlignment="1"/>
    <xf numFmtId="176" fontId="17" fillId="5" borderId="11" xfId="0" applyFont="1" applyFill="1" applyBorder="1">
      <alignment vertical="center"/>
    </xf>
    <xf numFmtId="176" fontId="3" fillId="0" borderId="0" xfId="0" applyFont="1" applyAlignment="1"/>
    <xf numFmtId="176" fontId="10" fillId="0" borderId="0" xfId="0" applyFont="1" applyAlignment="1"/>
    <xf numFmtId="14" fontId="11" fillId="6" borderId="11" xfId="0" applyNumberFormat="1" applyFont="1" applyFill="1" applyBorder="1" applyAlignment="1">
      <alignment horizontal="center" vertical="center"/>
    </xf>
    <xf numFmtId="176" fontId="18" fillId="6" borderId="11" xfId="0" applyFont="1" applyFill="1" applyBorder="1">
      <alignment vertical="center"/>
    </xf>
    <xf numFmtId="176" fontId="11" fillId="6" borderId="9" xfId="0" applyFont="1" applyFill="1" applyBorder="1" applyAlignment="1">
      <alignment horizontal="center" vertical="center"/>
    </xf>
    <xf numFmtId="176" fontId="11" fillId="6" borderId="11" xfId="0" applyFont="1" applyFill="1" applyBorder="1" applyAlignment="1">
      <alignment horizontal="center" vertical="center" wrapText="1"/>
    </xf>
    <xf numFmtId="14" fontId="11" fillId="6" borderId="11" xfId="0" applyNumberFormat="1" applyFont="1" applyFill="1" applyBorder="1" applyAlignment="1">
      <alignment horizontal="right" vertical="center"/>
    </xf>
    <xf numFmtId="1" fontId="11" fillId="6" borderId="11" xfId="0" applyNumberFormat="1" applyFont="1" applyFill="1" applyBorder="1" applyAlignment="1">
      <alignment horizontal="center" vertical="center"/>
    </xf>
    <xf numFmtId="14" fontId="10" fillId="6" borderId="11" xfId="0" applyNumberFormat="1" applyFont="1" applyFill="1" applyBorder="1" applyAlignment="1">
      <alignment horizontal="center" vertical="center"/>
    </xf>
    <xf numFmtId="176" fontId="19" fillId="6" borderId="11" xfId="0" applyFont="1" applyFill="1" applyBorder="1">
      <alignment vertical="center"/>
    </xf>
    <xf numFmtId="14" fontId="10" fillId="5" borderId="16" xfId="0" applyNumberFormat="1" applyFont="1" applyFill="1" applyBorder="1" applyAlignment="1">
      <alignment vertical="center" wrapText="1"/>
    </xf>
    <xf numFmtId="14" fontId="10" fillId="5" borderId="12" xfId="0" applyNumberFormat="1" applyFont="1" applyFill="1" applyBorder="1">
      <alignment vertical="center"/>
    </xf>
    <xf numFmtId="14" fontId="12" fillId="5" borderId="10" xfId="0" applyNumberFormat="1" applyFont="1" applyFill="1" applyBorder="1" applyAlignment="1">
      <alignment horizontal="left" vertical="center" wrapText="1"/>
    </xf>
    <xf numFmtId="176" fontId="13" fillId="7" borderId="11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vertical="center" wrapText="1"/>
    </xf>
    <xf numFmtId="14" fontId="13" fillId="7" borderId="11" xfId="0" applyNumberFormat="1" applyFont="1" applyFill="1" applyBorder="1" applyAlignment="1">
      <alignment horizontal="right" vertical="center" wrapText="1"/>
    </xf>
    <xf numFmtId="14" fontId="13" fillId="7" borderId="11" xfId="0" applyNumberFormat="1" applyFont="1" applyFill="1" applyBorder="1" applyAlignment="1">
      <alignment horizontal="center" vertical="center" wrapText="1"/>
    </xf>
    <xf numFmtId="176" fontId="13" fillId="7" borderId="9" xfId="0" applyFont="1" applyFill="1" applyBorder="1">
      <alignment vertical="center"/>
    </xf>
    <xf numFmtId="176" fontId="13" fillId="7" borderId="15" xfId="0" applyFont="1" applyFill="1" applyBorder="1">
      <alignment vertical="center"/>
    </xf>
    <xf numFmtId="9" fontId="11" fillId="6" borderId="14" xfId="0" applyNumberFormat="1" applyFont="1" applyFill="1" applyBorder="1" applyAlignment="1">
      <alignment horizontal="center" vertical="center"/>
    </xf>
    <xf numFmtId="176" fontId="17" fillId="5" borderId="11" xfId="0" applyFont="1" applyFill="1" applyBorder="1" applyAlignment="1">
      <alignment horizontal="left" vertical="center" wrapText="1"/>
    </xf>
    <xf numFmtId="176" fontId="10" fillId="5" borderId="14" xfId="0" applyFont="1" applyFill="1" applyBorder="1" applyAlignment="1">
      <alignment vertical="center" wrapText="1"/>
    </xf>
    <xf numFmtId="176" fontId="11" fillId="5" borderId="14" xfId="0" applyFont="1" applyFill="1" applyBorder="1">
      <alignment vertical="center"/>
    </xf>
    <xf numFmtId="14" fontId="11" fillId="5" borderId="14" xfId="0" applyNumberFormat="1" applyFont="1" applyFill="1" applyBorder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1" xfId="0" applyNumberFormat="1" applyFont="1" applyBorder="1" applyAlignment="1">
      <alignment vertical="center" wrapText="1"/>
    </xf>
    <xf numFmtId="176" fontId="10" fillId="0" borderId="11" xfId="0" applyFont="1" applyBorder="1" applyAlignment="1">
      <alignment horizontal="center" vertical="center" wrapText="1"/>
    </xf>
    <xf numFmtId="176" fontId="10" fillId="0" borderId="18" xfId="0" applyFont="1" applyBorder="1" applyAlignment="1"/>
    <xf numFmtId="176" fontId="15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/>
    </xf>
    <xf numFmtId="176" fontId="17" fillId="0" borderId="18" xfId="0" applyFont="1" applyBorder="1" applyAlignment="1">
      <alignment wrapText="1"/>
    </xf>
    <xf numFmtId="176" fontId="15" fillId="0" borderId="17" xfId="0" applyFont="1" applyBorder="1" applyAlignment="1">
      <alignment horizontal="center" vertical="center" wrapText="1"/>
    </xf>
    <xf numFmtId="176" fontId="15" fillId="0" borderId="19" xfId="0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76" fontId="10" fillId="0" borderId="21" xfId="0" applyFont="1" applyBorder="1" applyAlignment="1"/>
    <xf numFmtId="14" fontId="11" fillId="0" borderId="22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3" fillId="8" borderId="7" xfId="0" applyNumberFormat="1" applyFont="1" applyFill="1" applyBorder="1" applyAlignment="1">
      <alignment horizontal="center" vertical="center" wrapText="1"/>
    </xf>
    <xf numFmtId="14" fontId="11" fillId="9" borderId="7" xfId="0" applyNumberFormat="1" applyFont="1" applyFill="1" applyBorder="1" applyAlignment="1">
      <alignment horizontal="center" vertical="center" wrapText="1"/>
    </xf>
    <xf numFmtId="176" fontId="11" fillId="10" borderId="7" xfId="0" applyFont="1" applyFill="1" applyBorder="1">
      <alignment vertical="center"/>
    </xf>
    <xf numFmtId="176" fontId="11" fillId="10" borderId="7" xfId="0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justify" vertical="center"/>
    </xf>
    <xf numFmtId="176" fontId="17" fillId="5" borderId="11" xfId="0" applyFont="1" applyFill="1" applyBorder="1" applyAlignment="1">
      <alignment vertical="center" wrapText="1"/>
    </xf>
    <xf numFmtId="14" fontId="20" fillId="0" borderId="11" xfId="0" applyNumberFormat="1" applyFont="1" applyBorder="1" applyAlignment="1">
      <alignment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176" fontId="17" fillId="0" borderId="18" xfId="0" applyFont="1" applyBorder="1" applyAlignment="1"/>
    <xf numFmtId="176" fontId="2" fillId="0" borderId="0" xfId="0" applyFont="1" applyAlignment="1"/>
    <xf numFmtId="176" fontId="21" fillId="0" borderId="18" xfId="0" applyFont="1" applyBorder="1" applyAlignment="1"/>
    <xf numFmtId="176" fontId="21" fillId="0" borderId="18" xfId="0" applyFont="1" applyBorder="1" applyAlignment="1">
      <alignment wrapText="1"/>
    </xf>
    <xf numFmtId="176" fontId="17" fillId="0" borderId="24" xfId="0" applyFont="1" applyBorder="1" applyAlignment="1"/>
    <xf numFmtId="14" fontId="20" fillId="0" borderId="20" xfId="0" applyNumberFormat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176" fontId="23" fillId="0" borderId="11" xfId="0" applyFont="1" applyBorder="1" applyAlignment="1">
      <alignment horizontal="center" vertical="center" wrapText="1"/>
    </xf>
    <xf numFmtId="176" fontId="10" fillId="0" borderId="30" xfId="0" applyFont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176" fontId="11" fillId="10" borderId="7" xfId="0" applyFont="1" applyFill="1" applyBorder="1" applyAlignment="1">
      <alignment horizontal="center" vertical="center"/>
    </xf>
    <xf numFmtId="1" fontId="10" fillId="5" borderId="14" xfId="0" applyNumberFormat="1" applyFont="1" applyFill="1" applyBorder="1" applyAlignment="1">
      <alignment horizontal="center" vertical="center"/>
    </xf>
    <xf numFmtId="176" fontId="20" fillId="5" borderId="11" xfId="0" applyFont="1" applyFill="1" applyBorder="1" applyAlignment="1">
      <alignment horizontal="center" vertical="center" wrapText="1"/>
    </xf>
    <xf numFmtId="14" fontId="10" fillId="12" borderId="10" xfId="0" applyNumberFormat="1" applyFont="1" applyFill="1" applyBorder="1" applyAlignment="1">
      <alignment horizontal="left" vertical="center"/>
    </xf>
    <xf numFmtId="176" fontId="20" fillId="0" borderId="11" xfId="0" applyFont="1" applyBorder="1" applyAlignment="1">
      <alignment horizontal="center" vertical="center" wrapText="1"/>
    </xf>
    <xf numFmtId="176" fontId="23" fillId="5" borderId="13" xfId="0" applyFont="1" applyFill="1" applyBorder="1" applyAlignment="1">
      <alignment horizontal="left" vertical="center"/>
    </xf>
    <xf numFmtId="176" fontId="24" fillId="13" borderId="33" xfId="0" applyFont="1" applyFill="1" applyBorder="1">
      <alignment vertical="center"/>
    </xf>
    <xf numFmtId="176" fontId="25" fillId="13" borderId="34" xfId="0" applyFont="1" applyFill="1" applyBorder="1" applyAlignment="1">
      <alignment horizontal="center" vertical="center"/>
    </xf>
    <xf numFmtId="176" fontId="25" fillId="13" borderId="33" xfId="0" applyFont="1" applyFill="1" applyBorder="1" applyAlignment="1">
      <alignment horizontal="center" vertical="center" wrapText="1"/>
    </xf>
    <xf numFmtId="14" fontId="25" fillId="13" borderId="33" xfId="0" applyNumberFormat="1" applyFont="1" applyFill="1" applyBorder="1" applyAlignment="1">
      <alignment horizontal="right" vertical="center"/>
    </xf>
    <xf numFmtId="14" fontId="10" fillId="12" borderId="35" xfId="0" applyNumberFormat="1" applyFont="1" applyFill="1" applyBorder="1" applyAlignment="1">
      <alignment horizontal="left" vertical="center"/>
    </xf>
    <xf numFmtId="14" fontId="23" fillId="12" borderId="33" xfId="0" applyNumberFormat="1" applyFont="1" applyFill="1" applyBorder="1" applyAlignment="1">
      <alignment horizontal="right" vertical="center"/>
    </xf>
    <xf numFmtId="14" fontId="23" fillId="5" borderId="11" xfId="0" applyNumberFormat="1" applyFont="1" applyFill="1" applyBorder="1" applyAlignment="1">
      <alignment horizontal="right" vertical="center"/>
    </xf>
    <xf numFmtId="14" fontId="23" fillId="5" borderId="10" xfId="0" applyNumberFormat="1" applyFont="1" applyFill="1" applyBorder="1" applyAlignment="1">
      <alignment horizontal="left" vertical="center" wrapText="1"/>
    </xf>
    <xf numFmtId="14" fontId="23" fillId="5" borderId="10" xfId="0" applyNumberFormat="1" applyFont="1" applyFill="1" applyBorder="1" applyAlignment="1">
      <alignment horizontal="left" vertical="center"/>
    </xf>
    <xf numFmtId="14" fontId="25" fillId="13" borderId="0" xfId="0" applyNumberFormat="1" applyFont="1" applyFill="1" applyBorder="1" applyAlignment="1">
      <alignment horizontal="right" vertical="center"/>
    </xf>
    <xf numFmtId="14" fontId="23" fillId="12" borderId="0" xfId="0" applyNumberFormat="1" applyFont="1" applyFill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 wrapText="1"/>
    </xf>
    <xf numFmtId="176" fontId="15" fillId="0" borderId="17" xfId="0" applyFont="1" applyBorder="1" applyAlignment="1">
      <alignment horizontal="center" vertical="center"/>
    </xf>
    <xf numFmtId="176" fontId="11" fillId="10" borderId="7" xfId="0" applyFont="1" applyFill="1" applyBorder="1" applyAlignment="1">
      <alignment horizontal="center" vertical="center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left" vertical="center" wrapText="1"/>
    </xf>
    <xf numFmtId="14" fontId="10" fillId="5" borderId="12" xfId="0" applyNumberFormat="1" applyFont="1" applyFill="1" applyBorder="1" applyAlignment="1">
      <alignment horizontal="left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14" fontId="10" fillId="5" borderId="12" xfId="0" applyNumberFormat="1" applyFont="1" applyFill="1" applyBorder="1" applyAlignment="1">
      <alignment horizontal="center" vertical="center" wrapText="1"/>
    </xf>
    <xf numFmtId="14" fontId="10" fillId="5" borderId="3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left" vertical="top" wrapText="1"/>
    </xf>
    <xf numFmtId="176" fontId="6" fillId="0" borderId="25" xfId="0" applyFont="1" applyBorder="1" applyAlignment="1">
      <alignment horizontal="justify" vertical="center" wrapText="1"/>
    </xf>
    <xf numFmtId="176" fontId="6" fillId="0" borderId="6" xfId="0" applyFont="1" applyBorder="1" applyAlignment="1">
      <alignment horizontal="justify" vertical="center" wrapText="1"/>
    </xf>
    <xf numFmtId="176" fontId="6" fillId="0" borderId="4" xfId="0" applyFont="1" applyBorder="1" applyAlignment="1">
      <alignment horizontal="justify" vertical="center" wrapText="1"/>
    </xf>
    <xf numFmtId="176" fontId="6" fillId="0" borderId="25" xfId="0" applyFont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/>
    </xf>
    <xf numFmtId="176" fontId="6" fillId="0" borderId="4" xfId="0" applyFont="1" applyBorder="1" applyAlignment="1">
      <alignment horizontal="justify" vertical="center"/>
    </xf>
    <xf numFmtId="176" fontId="9" fillId="0" borderId="25" xfId="0" applyFont="1" applyBorder="1" applyAlignment="1">
      <alignment horizontal="center" vertical="center"/>
    </xf>
    <xf numFmtId="176" fontId="9" fillId="0" borderId="4" xfId="0" applyFont="1" applyBorder="1" applyAlignment="1">
      <alignment horizontal="center" vertical="center"/>
    </xf>
    <xf numFmtId="176" fontId="6" fillId="0" borderId="25" xfId="0" applyFont="1" applyBorder="1" applyAlignment="1">
      <alignment horizontal="center" vertical="center" wrapText="1"/>
    </xf>
    <xf numFmtId="176" fontId="6" fillId="0" borderId="4" xfId="0" applyFont="1" applyBorder="1" applyAlignment="1">
      <alignment horizontal="center" vertical="center" wrapText="1"/>
    </xf>
    <xf numFmtId="176" fontId="6" fillId="0" borderId="28" xfId="0" applyFont="1" applyBorder="1" applyAlignment="1">
      <alignment horizontal="center" vertical="center"/>
    </xf>
    <xf numFmtId="176" fontId="6" fillId="0" borderId="29" xfId="0" applyFont="1" applyBorder="1" applyAlignment="1">
      <alignment horizontal="center" vertical="center"/>
    </xf>
    <xf numFmtId="176" fontId="6" fillId="0" borderId="8" xfId="0" applyFont="1" applyBorder="1" applyAlignment="1">
      <alignment horizontal="center" vertical="center"/>
    </xf>
    <xf numFmtId="176" fontId="9" fillId="0" borderId="6" xfId="0" applyFont="1" applyBorder="1" applyAlignment="1">
      <alignment horizontal="center" vertical="center"/>
    </xf>
    <xf numFmtId="176" fontId="9" fillId="0" borderId="26" xfId="0" applyFont="1" applyBorder="1" applyAlignment="1">
      <alignment horizontal="center" vertical="center"/>
    </xf>
    <xf numFmtId="176" fontId="9" fillId="0" borderId="27" xfId="0" applyFont="1" applyBorder="1" applyAlignment="1">
      <alignment horizontal="center" vertical="center"/>
    </xf>
    <xf numFmtId="176" fontId="9" fillId="0" borderId="3" xfId="0" applyFont="1" applyBorder="1" applyAlignment="1">
      <alignment horizontal="center" vertical="center"/>
    </xf>
    <xf numFmtId="176" fontId="9" fillId="0" borderId="28" xfId="0" applyFont="1" applyBorder="1" applyAlignment="1">
      <alignment horizontal="center" vertical="center"/>
    </xf>
    <xf numFmtId="176" fontId="9" fillId="0" borderId="29" xfId="0" applyFont="1" applyBorder="1" applyAlignment="1">
      <alignment horizontal="center" vertical="center"/>
    </xf>
    <xf numFmtId="176" fontId="9" fillId="0" borderId="8" xfId="0" applyFont="1" applyBorder="1" applyAlignment="1">
      <alignment horizontal="center" vertical="center"/>
    </xf>
    <xf numFmtId="176" fontId="6" fillId="0" borderId="26" xfId="0" applyFont="1" applyBorder="1" applyAlignment="1">
      <alignment horizontal="center" vertical="center"/>
    </xf>
    <xf numFmtId="176" fontId="6" fillId="0" borderId="27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/>
    </xf>
    <xf numFmtId="176" fontId="9" fillId="0" borderId="25" xfId="0" applyFont="1" applyBorder="1" applyAlignment="1">
      <alignment horizontal="center" vertical="center" wrapText="1"/>
    </xf>
    <xf numFmtId="176" fontId="9" fillId="0" borderId="6" xfId="0" applyFont="1" applyBorder="1" applyAlignment="1">
      <alignment horizontal="center" vertical="center" wrapText="1"/>
    </xf>
    <xf numFmtId="176" fontId="9" fillId="0" borderId="4" xfId="0" applyFont="1" applyBorder="1" applyAlignment="1">
      <alignment horizontal="center" vertical="center" wrapText="1"/>
    </xf>
    <xf numFmtId="176" fontId="6" fillId="0" borderId="25" xfId="0" applyFont="1" applyBorder="1" applyAlignment="1">
      <alignment horizontal="center" vertical="center"/>
    </xf>
    <xf numFmtId="176" fontId="6" fillId="0" borderId="6" xfId="0" applyFont="1" applyBorder="1" applyAlignment="1">
      <alignment horizontal="center" vertical="center"/>
    </xf>
    <xf numFmtId="176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24" activePane="bottomLeft" state="frozen"/>
      <selection pane="bottomLeft" activeCell="B6" sqref="B6"/>
    </sheetView>
  </sheetViews>
  <sheetFormatPr defaultColWidth="9" defaultRowHeight="12.75" customHeight="1" x14ac:dyDescent="0.25"/>
  <cols>
    <col min="1" max="1" width="15.765625" style="69" customWidth="1"/>
    <col min="2" max="2" width="44.15234375" style="69" customWidth="1"/>
    <col min="3" max="3" width="13.4609375" style="69" customWidth="1"/>
    <col min="4" max="4" width="10.84375" style="69" hidden="1" customWidth="1"/>
    <col min="5" max="5" width="9.3828125" style="69" customWidth="1"/>
    <col min="6" max="6" width="12.84375" style="69" customWidth="1"/>
    <col min="7" max="9" width="10.765625" style="69" customWidth="1"/>
    <col min="10" max="10" width="67.15234375" style="69" customWidth="1"/>
    <col min="11" max="40" width="9" style="69"/>
  </cols>
  <sheetData>
    <row r="1" spans="1:10" s="72" customFormat="1" ht="24" customHeight="1" thickBot="1" x14ac:dyDescent="0.3">
      <c r="A1" s="153" t="s">
        <v>0</v>
      </c>
      <c r="B1" s="153"/>
      <c r="C1" s="153"/>
      <c r="D1" s="153"/>
      <c r="E1" s="153"/>
      <c r="F1" s="153"/>
      <c r="G1" s="113" t="s">
        <v>1</v>
      </c>
      <c r="H1" s="154" t="s">
        <v>2</v>
      </c>
      <c r="I1" s="154"/>
      <c r="J1" s="114" t="s">
        <v>3</v>
      </c>
    </row>
    <row r="2" spans="1:10" s="72" customFormat="1" ht="23.25" customHeight="1" thickBot="1" x14ac:dyDescent="0.3">
      <c r="A2" s="115"/>
      <c r="B2" s="134" t="s">
        <v>4</v>
      </c>
      <c r="C2" s="115" t="s">
        <v>5</v>
      </c>
      <c r="D2" s="116" t="s">
        <v>6</v>
      </c>
      <c r="E2" s="116" t="s">
        <v>7</v>
      </c>
      <c r="F2" s="116" t="s">
        <v>8</v>
      </c>
      <c r="G2" s="113" t="s">
        <v>9</v>
      </c>
      <c r="H2" s="132" t="s">
        <v>10</v>
      </c>
      <c r="I2" s="132" t="s">
        <v>11</v>
      </c>
      <c r="J2" s="114"/>
    </row>
    <row r="3" spans="1:10" ht="20.9" customHeight="1" x14ac:dyDescent="0.25">
      <c r="A3" s="110" t="s">
        <v>12</v>
      </c>
      <c r="B3" s="111" t="s">
        <v>13</v>
      </c>
      <c r="C3" s="112">
        <v>46193</v>
      </c>
      <c r="D3" s="112" t="s">
        <v>14</v>
      </c>
      <c r="E3" s="112" t="s">
        <v>15</v>
      </c>
      <c r="F3" s="112" t="s">
        <v>16</v>
      </c>
      <c r="G3" s="112">
        <v>46149</v>
      </c>
      <c r="H3" s="112">
        <v>46176</v>
      </c>
      <c r="I3" s="112">
        <v>46181</v>
      </c>
      <c r="J3" s="126" t="s">
        <v>17</v>
      </c>
    </row>
    <row r="4" spans="1:10" ht="20.9" customHeight="1" x14ac:dyDescent="0.25">
      <c r="A4" s="133" t="s">
        <v>12</v>
      </c>
      <c r="B4" s="97" t="s">
        <v>18</v>
      </c>
      <c r="C4" s="101">
        <v>46193</v>
      </c>
      <c r="D4" s="101" t="s">
        <v>14</v>
      </c>
      <c r="E4" s="101" t="s">
        <v>15</v>
      </c>
      <c r="F4" s="101" t="s">
        <v>16</v>
      </c>
      <c r="G4" s="101">
        <v>46149</v>
      </c>
      <c r="H4" s="101">
        <v>46176</v>
      </c>
      <c r="I4" s="101">
        <v>46181</v>
      </c>
      <c r="J4" s="126" t="s">
        <v>17</v>
      </c>
    </row>
    <row r="5" spans="1:10" ht="20.9" customHeight="1" x14ac:dyDescent="0.25">
      <c r="A5" s="155" t="s">
        <v>19</v>
      </c>
      <c r="B5" s="97" t="s">
        <v>20</v>
      </c>
      <c r="C5" s="101">
        <v>46213</v>
      </c>
      <c r="D5" s="101" t="s">
        <v>21</v>
      </c>
      <c r="E5" s="98" t="s">
        <v>22</v>
      </c>
      <c r="F5" s="101" t="s">
        <v>16</v>
      </c>
      <c r="G5" s="101">
        <v>46188</v>
      </c>
      <c r="H5" s="101">
        <f>G5+7</f>
        <v>46195</v>
      </c>
      <c r="I5" s="101">
        <f>H5+12</f>
        <v>46207</v>
      </c>
      <c r="J5" s="122" t="s">
        <v>23</v>
      </c>
    </row>
    <row r="6" spans="1:10" ht="20.9" customHeight="1" x14ac:dyDescent="0.25">
      <c r="A6" s="156"/>
      <c r="B6" s="120" t="s">
        <v>24</v>
      </c>
      <c r="C6" s="121">
        <v>46216</v>
      </c>
      <c r="D6" s="121"/>
      <c r="E6" s="138" t="s">
        <v>22</v>
      </c>
      <c r="F6" s="121" t="s">
        <v>16</v>
      </c>
      <c r="G6" s="121">
        <v>46211</v>
      </c>
      <c r="H6" s="121">
        <v>46213</v>
      </c>
      <c r="I6" s="121">
        <v>46216</v>
      </c>
      <c r="J6" s="124" t="s">
        <v>25</v>
      </c>
    </row>
    <row r="7" spans="1:10" ht="20.9" customHeight="1" x14ac:dyDescent="0.25">
      <c r="A7" s="151" t="s">
        <v>26</v>
      </c>
      <c r="B7" s="97" t="s">
        <v>27</v>
      </c>
      <c r="C7" s="101">
        <v>46228</v>
      </c>
      <c r="D7" s="101" t="s">
        <v>28</v>
      </c>
      <c r="E7" s="101" t="s">
        <v>22</v>
      </c>
      <c r="F7" s="101" t="s">
        <v>16</v>
      </c>
      <c r="G7" s="101">
        <v>46182</v>
      </c>
      <c r="H7" s="101">
        <f>G7+7</f>
        <v>46189</v>
      </c>
      <c r="I7" s="101">
        <f>H7+14</f>
        <v>46203</v>
      </c>
      <c r="J7" s="122" t="s">
        <v>29</v>
      </c>
    </row>
    <row r="8" spans="1:10" ht="20.9" customHeight="1" x14ac:dyDescent="0.25">
      <c r="A8" s="151"/>
      <c r="B8" s="97" t="s">
        <v>30</v>
      </c>
      <c r="C8" s="101">
        <v>46456</v>
      </c>
      <c r="D8" s="101" t="s">
        <v>28</v>
      </c>
      <c r="E8" s="98" t="s">
        <v>31</v>
      </c>
      <c r="F8" s="101" t="s">
        <v>16</v>
      </c>
      <c r="G8" s="101">
        <v>46436</v>
      </c>
      <c r="H8" s="101">
        <f>G8+7</f>
        <v>46443</v>
      </c>
      <c r="I8" s="101">
        <f>H8+7</f>
        <v>46450</v>
      </c>
      <c r="J8" s="99"/>
    </row>
    <row r="9" spans="1:10" ht="20.9" customHeight="1" x14ac:dyDescent="0.25">
      <c r="A9" s="151" t="s">
        <v>32</v>
      </c>
      <c r="B9" s="97" t="s">
        <v>33</v>
      </c>
      <c r="C9" s="101">
        <v>46223</v>
      </c>
      <c r="D9" s="101" t="s">
        <v>14</v>
      </c>
      <c r="E9" s="100" t="s">
        <v>34</v>
      </c>
      <c r="F9" s="101" t="s">
        <v>35</v>
      </c>
      <c r="G9" s="100" t="s">
        <v>34</v>
      </c>
      <c r="H9" s="100" t="s">
        <v>34</v>
      </c>
      <c r="I9" s="100" t="s">
        <v>34</v>
      </c>
      <c r="J9" s="99"/>
    </row>
    <row r="10" spans="1:10" ht="20.9" customHeight="1" x14ac:dyDescent="0.25">
      <c r="A10" s="151"/>
      <c r="B10" s="97" t="s">
        <v>36</v>
      </c>
      <c r="C10" s="101">
        <v>46223</v>
      </c>
      <c r="D10" s="101" t="s">
        <v>14</v>
      </c>
      <c r="E10" s="100" t="s">
        <v>34</v>
      </c>
      <c r="F10" s="101" t="s">
        <v>35</v>
      </c>
      <c r="G10" s="100" t="s">
        <v>34</v>
      </c>
      <c r="H10" s="100" t="s">
        <v>34</v>
      </c>
      <c r="I10" s="100" t="s">
        <v>34</v>
      </c>
      <c r="J10" s="99"/>
    </row>
    <row r="11" spans="1:10" ht="20.9" customHeight="1" x14ac:dyDescent="0.25">
      <c r="A11" s="151"/>
      <c r="B11" s="97" t="s">
        <v>37</v>
      </c>
      <c r="C11" s="101">
        <v>46223</v>
      </c>
      <c r="D11" s="101" t="s">
        <v>28</v>
      </c>
      <c r="E11" s="98" t="s">
        <v>22</v>
      </c>
      <c r="F11" s="101" t="s">
        <v>16</v>
      </c>
      <c r="G11" s="101">
        <v>46208</v>
      </c>
      <c r="H11" s="101">
        <f t="shared" ref="H11:I13" si="0">G11+7</f>
        <v>46215</v>
      </c>
      <c r="I11" s="101">
        <f t="shared" si="0"/>
        <v>46222</v>
      </c>
      <c r="J11" s="124" t="s">
        <v>38</v>
      </c>
    </row>
    <row r="12" spans="1:10" ht="20.9" customHeight="1" x14ac:dyDescent="0.25">
      <c r="A12" s="151"/>
      <c r="B12" s="102" t="s">
        <v>39</v>
      </c>
      <c r="C12" s="101">
        <v>46223</v>
      </c>
      <c r="D12" s="101" t="s">
        <v>28</v>
      </c>
      <c r="E12" s="98" t="s">
        <v>22</v>
      </c>
      <c r="F12" s="101" t="s">
        <v>16</v>
      </c>
      <c r="G12" s="101">
        <v>46208</v>
      </c>
      <c r="H12" s="101">
        <f t="shared" si="0"/>
        <v>46215</v>
      </c>
      <c r="I12" s="101">
        <f t="shared" si="0"/>
        <v>46222</v>
      </c>
      <c r="J12" s="124" t="s">
        <v>25</v>
      </c>
    </row>
    <row r="13" spans="1:10" ht="20.9" customHeight="1" x14ac:dyDescent="0.25">
      <c r="A13" s="151"/>
      <c r="B13" s="97" t="s">
        <v>40</v>
      </c>
      <c r="C13" s="101">
        <v>46223</v>
      </c>
      <c r="D13" s="101" t="s">
        <v>28</v>
      </c>
      <c r="E13" s="98" t="s">
        <v>22</v>
      </c>
      <c r="F13" s="101" t="s">
        <v>16</v>
      </c>
      <c r="G13" s="101">
        <v>46208</v>
      </c>
      <c r="H13" s="101">
        <f t="shared" si="0"/>
        <v>46215</v>
      </c>
      <c r="I13" s="101">
        <f t="shared" si="0"/>
        <v>46222</v>
      </c>
      <c r="J13" s="124" t="s">
        <v>25</v>
      </c>
    </row>
    <row r="14" spans="1:10" ht="20.149999999999999" customHeight="1" x14ac:dyDescent="0.25">
      <c r="A14" s="151" t="s">
        <v>41</v>
      </c>
      <c r="B14" s="97" t="s">
        <v>42</v>
      </c>
      <c r="C14" s="101">
        <v>46228</v>
      </c>
      <c r="D14" s="101" t="s">
        <v>43</v>
      </c>
      <c r="E14" s="100" t="s">
        <v>34</v>
      </c>
      <c r="F14" s="101" t="s">
        <v>35</v>
      </c>
      <c r="G14" s="100" t="s">
        <v>34</v>
      </c>
      <c r="H14" s="100" t="s">
        <v>34</v>
      </c>
      <c r="I14" s="100" t="s">
        <v>34</v>
      </c>
      <c r="J14" s="99"/>
    </row>
    <row r="15" spans="1:10" ht="20.149999999999999" customHeight="1" x14ac:dyDescent="0.25">
      <c r="A15" s="151"/>
      <c r="B15" s="97" t="s">
        <v>44</v>
      </c>
      <c r="C15" s="101">
        <v>46228</v>
      </c>
      <c r="D15" s="101" t="s">
        <v>43</v>
      </c>
      <c r="E15" s="100" t="s">
        <v>34</v>
      </c>
      <c r="F15" s="101" t="s">
        <v>35</v>
      </c>
      <c r="G15" s="100" t="s">
        <v>34</v>
      </c>
      <c r="H15" s="100" t="s">
        <v>34</v>
      </c>
      <c r="I15" s="100" t="s">
        <v>34</v>
      </c>
      <c r="J15" s="99"/>
    </row>
    <row r="16" spans="1:10" ht="20.9" customHeight="1" x14ac:dyDescent="0.25">
      <c r="A16" s="151"/>
      <c r="B16" s="128" t="s">
        <v>45</v>
      </c>
      <c r="C16" s="129">
        <v>46228</v>
      </c>
      <c r="D16" s="129" t="s">
        <v>43</v>
      </c>
      <c r="E16" s="130" t="s">
        <v>22</v>
      </c>
      <c r="F16" s="129" t="s">
        <v>16</v>
      </c>
      <c r="G16" s="129">
        <v>46199</v>
      </c>
      <c r="H16" s="129">
        <f>G16+7</f>
        <v>46206</v>
      </c>
      <c r="I16" s="129">
        <f>H16+10</f>
        <v>46216</v>
      </c>
      <c r="J16" s="122" t="s">
        <v>46</v>
      </c>
    </row>
    <row r="17" spans="1:10" ht="20.9" customHeight="1" x14ac:dyDescent="0.25">
      <c r="A17" s="151"/>
      <c r="B17" s="128" t="s">
        <v>47</v>
      </c>
      <c r="C17" s="129">
        <v>46228</v>
      </c>
      <c r="D17" s="129" t="s">
        <v>43</v>
      </c>
      <c r="E17" s="130" t="s">
        <v>22</v>
      </c>
      <c r="F17" s="129" t="s">
        <v>16</v>
      </c>
      <c r="G17" s="129">
        <v>46203</v>
      </c>
      <c r="H17" s="129">
        <f>G17+7</f>
        <v>46210</v>
      </c>
      <c r="I17" s="129">
        <f>H17+10</f>
        <v>46220</v>
      </c>
      <c r="J17" s="122" t="s">
        <v>48</v>
      </c>
    </row>
    <row r="18" spans="1:10" ht="20.65" customHeight="1" x14ac:dyDescent="0.25">
      <c r="A18" s="151"/>
      <c r="B18" s="128" t="s">
        <v>49</v>
      </c>
      <c r="C18" s="129">
        <v>46228</v>
      </c>
      <c r="D18" s="129" t="s">
        <v>43</v>
      </c>
      <c r="E18" s="130" t="s">
        <v>22</v>
      </c>
      <c r="F18" s="129" t="s">
        <v>16</v>
      </c>
      <c r="G18" s="129">
        <v>46206</v>
      </c>
      <c r="H18" s="129">
        <f>G18+7</f>
        <v>46213</v>
      </c>
      <c r="I18" s="129">
        <f>H18+10</f>
        <v>46223</v>
      </c>
      <c r="J18" s="122" t="s">
        <v>50</v>
      </c>
    </row>
    <row r="19" spans="1:10" ht="15.65" customHeight="1" x14ac:dyDescent="0.25">
      <c r="A19" s="151"/>
      <c r="B19" s="97" t="s">
        <v>51</v>
      </c>
      <c r="C19" s="101">
        <v>46223</v>
      </c>
      <c r="D19" s="101" t="s">
        <v>43</v>
      </c>
      <c r="E19" s="101" t="s">
        <v>52</v>
      </c>
      <c r="F19" s="101" t="s">
        <v>35</v>
      </c>
      <c r="G19" s="101" t="s">
        <v>52</v>
      </c>
      <c r="H19" s="101" t="s">
        <v>52</v>
      </c>
      <c r="I19" s="101" t="s">
        <v>52</v>
      </c>
      <c r="J19" s="99"/>
    </row>
    <row r="20" spans="1:10" ht="20.65" customHeight="1" x14ac:dyDescent="0.25">
      <c r="A20" s="151"/>
      <c r="B20" s="97" t="s">
        <v>53</v>
      </c>
      <c r="C20" s="101">
        <v>46223</v>
      </c>
      <c r="D20" s="101" t="s">
        <v>43</v>
      </c>
      <c r="E20" s="101" t="s">
        <v>52</v>
      </c>
      <c r="F20" s="101" t="s">
        <v>35</v>
      </c>
      <c r="G20" s="101" t="s">
        <v>52</v>
      </c>
      <c r="H20" s="101" t="s">
        <v>52</v>
      </c>
      <c r="I20" s="101" t="s">
        <v>52</v>
      </c>
      <c r="J20" s="99"/>
    </row>
    <row r="21" spans="1:10" ht="20.65" customHeight="1" x14ac:dyDescent="0.25">
      <c r="A21" s="151" t="s">
        <v>54</v>
      </c>
      <c r="B21" s="128" t="s">
        <v>55</v>
      </c>
      <c r="C21" s="129">
        <v>46228</v>
      </c>
      <c r="D21" s="129" t="s">
        <v>56</v>
      </c>
      <c r="E21" s="129" t="s">
        <v>22</v>
      </c>
      <c r="F21" s="129" t="s">
        <v>16</v>
      </c>
      <c r="G21" s="129">
        <v>46182</v>
      </c>
      <c r="H21" s="129">
        <f>G21+7</f>
        <v>46189</v>
      </c>
      <c r="I21" s="129">
        <f>H21+14</f>
        <v>46203</v>
      </c>
      <c r="J21" s="122" t="s">
        <v>29</v>
      </c>
    </row>
    <row r="22" spans="1:10" ht="20.65" customHeight="1" x14ac:dyDescent="0.25">
      <c r="A22" s="151"/>
      <c r="B22" s="103" t="s">
        <v>57</v>
      </c>
      <c r="C22" s="101">
        <v>46289</v>
      </c>
      <c r="D22" s="101" t="s">
        <v>56</v>
      </c>
      <c r="E22" s="98" t="s">
        <v>31</v>
      </c>
      <c r="F22" s="101" t="s">
        <v>16</v>
      </c>
      <c r="G22" s="101">
        <v>46285</v>
      </c>
      <c r="H22" s="101">
        <f>G22+2</f>
        <v>46287</v>
      </c>
      <c r="I22" s="101">
        <f>H22+2</f>
        <v>46289</v>
      </c>
      <c r="J22" s="104"/>
    </row>
    <row r="23" spans="1:10" ht="20.65" customHeight="1" x14ac:dyDescent="0.25">
      <c r="A23" s="151"/>
      <c r="B23" s="103" t="s">
        <v>58</v>
      </c>
      <c r="C23" s="101">
        <v>46410</v>
      </c>
      <c r="D23" s="101" t="s">
        <v>56</v>
      </c>
      <c r="E23" s="98" t="s">
        <v>31</v>
      </c>
      <c r="F23" s="101" t="s">
        <v>16</v>
      </c>
      <c r="G23" s="101">
        <v>46391</v>
      </c>
      <c r="H23" s="101">
        <f>G23+7</f>
        <v>46398</v>
      </c>
      <c r="I23" s="101">
        <f>H23+7</f>
        <v>46405</v>
      </c>
      <c r="J23" s="99"/>
    </row>
    <row r="24" spans="1:10" ht="20.65" customHeight="1" x14ac:dyDescent="0.25">
      <c r="A24" s="151"/>
      <c r="B24" s="128" t="s">
        <v>59</v>
      </c>
      <c r="C24" s="129">
        <v>46228</v>
      </c>
      <c r="D24" s="129" t="s">
        <v>56</v>
      </c>
      <c r="E24" s="130" t="s">
        <v>31</v>
      </c>
      <c r="F24" s="129" t="s">
        <v>16</v>
      </c>
      <c r="G24" s="129">
        <v>46204</v>
      </c>
      <c r="H24" s="129">
        <f>G24+5</f>
        <v>46209</v>
      </c>
      <c r="I24" s="129">
        <f>H24+14</f>
        <v>46223</v>
      </c>
      <c r="J24" s="125" t="s">
        <v>60</v>
      </c>
    </row>
    <row r="25" spans="1:10" ht="20.65" customHeight="1" x14ac:dyDescent="0.25">
      <c r="A25" s="151"/>
      <c r="B25" s="128" t="s">
        <v>61</v>
      </c>
      <c r="C25" s="129">
        <v>46228</v>
      </c>
      <c r="D25" s="129" t="s">
        <v>21</v>
      </c>
      <c r="E25" s="130" t="s">
        <v>31</v>
      </c>
      <c r="F25" s="129" t="s">
        <v>16</v>
      </c>
      <c r="G25" s="129">
        <v>46204</v>
      </c>
      <c r="H25" s="129">
        <f>G25+5</f>
        <v>46209</v>
      </c>
      <c r="I25" s="129">
        <f>H25+14</f>
        <v>46223</v>
      </c>
      <c r="J25" s="125" t="s">
        <v>60</v>
      </c>
    </row>
    <row r="26" spans="1:10" ht="22.5" customHeight="1" x14ac:dyDescent="0.25">
      <c r="A26" s="151"/>
      <c r="B26" s="97" t="s">
        <v>62</v>
      </c>
      <c r="C26" s="121">
        <v>46410</v>
      </c>
      <c r="D26" s="101" t="s">
        <v>21</v>
      </c>
      <c r="E26" s="98" t="s">
        <v>31</v>
      </c>
      <c r="F26" s="101" t="s">
        <v>16</v>
      </c>
      <c r="G26" s="101">
        <v>46381</v>
      </c>
      <c r="H26" s="101">
        <f>G26+15</f>
        <v>46396</v>
      </c>
      <c r="I26" s="101">
        <f>H26+7</f>
        <v>46403</v>
      </c>
      <c r="J26" s="122"/>
    </row>
    <row r="27" spans="1:10" ht="20.65" customHeight="1" x14ac:dyDescent="0.25">
      <c r="A27" s="151"/>
      <c r="B27" s="103" t="s">
        <v>63</v>
      </c>
      <c r="C27" s="101">
        <v>46410</v>
      </c>
      <c r="D27" s="101" t="s">
        <v>21</v>
      </c>
      <c r="E27" s="98" t="s">
        <v>31</v>
      </c>
      <c r="F27" s="101" t="s">
        <v>16</v>
      </c>
      <c r="G27" s="101">
        <v>46402</v>
      </c>
      <c r="H27" s="101">
        <f>G27+3</f>
        <v>46405</v>
      </c>
      <c r="I27" s="101">
        <f>H27+3</f>
        <v>46408</v>
      </c>
      <c r="J27" s="122"/>
    </row>
    <row r="28" spans="1:10" ht="20.65" customHeight="1" x14ac:dyDescent="0.25">
      <c r="A28" s="151"/>
      <c r="B28" s="97" t="s">
        <v>64</v>
      </c>
      <c r="C28" s="121">
        <v>46234</v>
      </c>
      <c r="D28" s="98" t="s">
        <v>14</v>
      </c>
      <c r="E28" s="98" t="s">
        <v>22</v>
      </c>
      <c r="F28" s="101" t="s">
        <v>16</v>
      </c>
      <c r="G28" s="101">
        <v>46209</v>
      </c>
      <c r="H28" s="101">
        <f>G28+7</f>
        <v>46216</v>
      </c>
      <c r="I28" s="101">
        <f>H28+10</f>
        <v>46226</v>
      </c>
      <c r="J28" s="125" t="s">
        <v>65</v>
      </c>
    </row>
    <row r="29" spans="1:10" ht="25.15" customHeight="1" x14ac:dyDescent="0.25">
      <c r="A29" s="151"/>
      <c r="B29" s="97" t="s">
        <v>66</v>
      </c>
      <c r="C29" s="121">
        <v>46234</v>
      </c>
      <c r="D29" s="101" t="s">
        <v>21</v>
      </c>
      <c r="E29" s="98" t="s">
        <v>22</v>
      </c>
      <c r="F29" s="101" t="s">
        <v>16</v>
      </c>
      <c r="G29" s="101">
        <v>46209</v>
      </c>
      <c r="H29" s="101">
        <f>G29+7</f>
        <v>46216</v>
      </c>
      <c r="I29" s="101">
        <f>H29+10</f>
        <v>46226</v>
      </c>
      <c r="J29" s="125" t="s">
        <v>65</v>
      </c>
    </row>
    <row r="30" spans="1:10" ht="20.65" customHeight="1" x14ac:dyDescent="0.25">
      <c r="A30" s="151"/>
      <c r="B30" s="97" t="s">
        <v>67</v>
      </c>
      <c r="C30" s="121">
        <v>46232</v>
      </c>
      <c r="D30" s="101" t="s">
        <v>43</v>
      </c>
      <c r="E30" s="98" t="s">
        <v>22</v>
      </c>
      <c r="F30" s="101" t="s">
        <v>16</v>
      </c>
      <c r="G30" s="101">
        <v>46213</v>
      </c>
      <c r="H30" s="101">
        <f>G30+7</f>
        <v>46220</v>
      </c>
      <c r="I30" s="101">
        <f>H30+10</f>
        <v>46230</v>
      </c>
      <c r="J30" s="122" t="s">
        <v>25</v>
      </c>
    </row>
    <row r="31" spans="1:10" ht="20.65" customHeight="1" x14ac:dyDescent="0.25">
      <c r="A31" s="151"/>
      <c r="B31" s="97" t="s">
        <v>68</v>
      </c>
      <c r="C31" s="121">
        <v>46477</v>
      </c>
      <c r="D31" s="101" t="s">
        <v>43</v>
      </c>
      <c r="E31" s="98" t="s">
        <v>31</v>
      </c>
      <c r="F31" s="101" t="s">
        <v>16</v>
      </c>
      <c r="G31" s="101">
        <v>46413</v>
      </c>
      <c r="H31" s="101">
        <f>G31+7</f>
        <v>46420</v>
      </c>
      <c r="I31" s="101">
        <f>H31+15</f>
        <v>46435</v>
      </c>
      <c r="J31" s="122"/>
    </row>
    <row r="32" spans="1:10" ht="24" customHeight="1" x14ac:dyDescent="0.25">
      <c r="A32" s="152" t="s">
        <v>69</v>
      </c>
      <c r="B32" s="97" t="s">
        <v>70</v>
      </c>
      <c r="C32" s="121">
        <v>46223</v>
      </c>
      <c r="D32" s="101" t="s">
        <v>56</v>
      </c>
      <c r="E32" s="98" t="s">
        <v>22</v>
      </c>
      <c r="F32" s="101" t="s">
        <v>35</v>
      </c>
      <c r="G32" s="101" t="s">
        <v>52</v>
      </c>
      <c r="H32" s="101" t="s">
        <v>52</v>
      </c>
      <c r="I32" s="101" t="s">
        <v>52</v>
      </c>
      <c r="J32" s="99"/>
    </row>
    <row r="33" spans="1:10" ht="24" customHeight="1" x14ac:dyDescent="0.25">
      <c r="A33" s="152"/>
      <c r="B33" s="97" t="s">
        <v>71</v>
      </c>
      <c r="C33" s="101">
        <v>46223</v>
      </c>
      <c r="D33" s="101" t="s">
        <v>56</v>
      </c>
      <c r="E33" s="98" t="s">
        <v>22</v>
      </c>
      <c r="F33" s="101" t="s">
        <v>35</v>
      </c>
      <c r="G33" s="101" t="s">
        <v>52</v>
      </c>
      <c r="H33" s="101" t="s">
        <v>52</v>
      </c>
      <c r="I33" s="101" t="s">
        <v>52</v>
      </c>
      <c r="J33" s="99"/>
    </row>
    <row r="34" spans="1:10" ht="24" customHeight="1" x14ac:dyDescent="0.25">
      <c r="A34" s="152"/>
      <c r="B34" s="97" t="s">
        <v>72</v>
      </c>
      <c r="C34" s="121">
        <v>46223</v>
      </c>
      <c r="D34" s="101" t="s">
        <v>56</v>
      </c>
      <c r="E34" s="98" t="s">
        <v>22</v>
      </c>
      <c r="F34" s="101" t="s">
        <v>35</v>
      </c>
      <c r="G34" s="101" t="s">
        <v>52</v>
      </c>
      <c r="H34" s="101" t="s">
        <v>52</v>
      </c>
      <c r="I34" s="101" t="s">
        <v>52</v>
      </c>
      <c r="J34" s="99"/>
    </row>
    <row r="35" spans="1:10" ht="24" customHeight="1" x14ac:dyDescent="0.25">
      <c r="A35" s="152"/>
      <c r="B35" s="97" t="s">
        <v>73</v>
      </c>
      <c r="C35" s="101">
        <v>46223</v>
      </c>
      <c r="D35" s="101" t="s">
        <v>74</v>
      </c>
      <c r="E35" s="98" t="s">
        <v>22</v>
      </c>
      <c r="F35" s="101" t="s">
        <v>35</v>
      </c>
      <c r="G35" s="101" t="s">
        <v>52</v>
      </c>
      <c r="H35" s="101" t="s">
        <v>52</v>
      </c>
      <c r="I35" s="101" t="s">
        <v>52</v>
      </c>
      <c r="J35" s="99"/>
    </row>
    <row r="36" spans="1:10" ht="24" customHeight="1" x14ac:dyDescent="0.25">
      <c r="A36" s="152"/>
      <c r="B36" s="97" t="s">
        <v>75</v>
      </c>
      <c r="C36" s="121">
        <v>46223</v>
      </c>
      <c r="D36" s="101" t="s">
        <v>76</v>
      </c>
      <c r="E36" s="98" t="s">
        <v>22</v>
      </c>
      <c r="F36" s="101" t="s">
        <v>35</v>
      </c>
      <c r="G36" s="101" t="s">
        <v>52</v>
      </c>
      <c r="H36" s="101" t="s">
        <v>52</v>
      </c>
      <c r="I36" s="101" t="s">
        <v>52</v>
      </c>
      <c r="J36" s="99"/>
    </row>
    <row r="37" spans="1:10" ht="34.5" customHeight="1" x14ac:dyDescent="0.25">
      <c r="A37" s="152"/>
      <c r="B37" s="97" t="s">
        <v>77</v>
      </c>
      <c r="C37" s="121">
        <v>46228</v>
      </c>
      <c r="D37" s="101" t="s">
        <v>21</v>
      </c>
      <c r="E37" s="98" t="s">
        <v>22</v>
      </c>
      <c r="F37" s="101" t="s">
        <v>35</v>
      </c>
      <c r="G37" s="101" t="s">
        <v>52</v>
      </c>
      <c r="H37" s="101" t="s">
        <v>52</v>
      </c>
      <c r="I37" s="101" t="s">
        <v>52</v>
      </c>
      <c r="J37" s="99"/>
    </row>
    <row r="38" spans="1:10" ht="24" customHeight="1" x14ac:dyDescent="0.25">
      <c r="A38" s="152"/>
      <c r="B38" s="97" t="s">
        <v>78</v>
      </c>
      <c r="C38" s="121">
        <v>46228</v>
      </c>
      <c r="D38" s="101" t="s">
        <v>28</v>
      </c>
      <c r="E38" s="98" t="s">
        <v>22</v>
      </c>
      <c r="F38" s="101" t="s">
        <v>35</v>
      </c>
      <c r="G38" s="101" t="s">
        <v>52</v>
      </c>
      <c r="H38" s="101" t="s">
        <v>52</v>
      </c>
      <c r="I38" s="101" t="s">
        <v>52</v>
      </c>
      <c r="J38" s="99"/>
    </row>
    <row r="39" spans="1:10" ht="24" customHeight="1" x14ac:dyDescent="0.25">
      <c r="A39" s="152"/>
      <c r="B39" s="97" t="s">
        <v>79</v>
      </c>
      <c r="C39" s="121">
        <v>46234</v>
      </c>
      <c r="D39" s="101" t="s">
        <v>56</v>
      </c>
      <c r="E39" s="98" t="s">
        <v>22</v>
      </c>
      <c r="F39" s="101" t="s">
        <v>35</v>
      </c>
      <c r="G39" s="101" t="s">
        <v>52</v>
      </c>
      <c r="H39" s="101" t="s">
        <v>52</v>
      </c>
      <c r="I39" s="101" t="s">
        <v>52</v>
      </c>
      <c r="J39" s="99"/>
    </row>
    <row r="40" spans="1:10" ht="24" customHeight="1" x14ac:dyDescent="0.25">
      <c r="A40" s="152"/>
      <c r="B40" s="97" t="s">
        <v>80</v>
      </c>
      <c r="C40" s="121">
        <v>46295</v>
      </c>
      <c r="D40" s="101" t="s">
        <v>81</v>
      </c>
      <c r="E40" s="98" t="s">
        <v>22</v>
      </c>
      <c r="F40" s="101" t="s">
        <v>35</v>
      </c>
      <c r="G40" s="101" t="s">
        <v>52</v>
      </c>
      <c r="H40" s="101" t="s">
        <v>52</v>
      </c>
      <c r="I40" s="101" t="s">
        <v>52</v>
      </c>
      <c r="J40" s="99"/>
    </row>
    <row r="41" spans="1:10" ht="24" customHeight="1" x14ac:dyDescent="0.25">
      <c r="A41" s="152"/>
      <c r="B41" s="120" t="s">
        <v>82</v>
      </c>
      <c r="C41" s="121">
        <v>46418</v>
      </c>
      <c r="D41" s="101" t="s">
        <v>28</v>
      </c>
      <c r="E41" s="98" t="s">
        <v>31</v>
      </c>
      <c r="F41" s="101" t="s">
        <v>35</v>
      </c>
      <c r="G41" s="101" t="s">
        <v>52</v>
      </c>
      <c r="H41" s="101" t="s">
        <v>52</v>
      </c>
      <c r="I41" s="101" t="s">
        <v>52</v>
      </c>
      <c r="J41" s="99"/>
    </row>
    <row r="42" spans="1:10" ht="24" customHeight="1" x14ac:dyDescent="0.25">
      <c r="A42" s="152"/>
      <c r="B42" s="120" t="s">
        <v>83</v>
      </c>
      <c r="C42" s="121">
        <v>46418</v>
      </c>
      <c r="D42" s="101" t="s">
        <v>28</v>
      </c>
      <c r="E42" s="98" t="s">
        <v>31</v>
      </c>
      <c r="F42" s="101" t="s">
        <v>35</v>
      </c>
      <c r="G42" s="101" t="s">
        <v>52</v>
      </c>
      <c r="H42" s="101" t="s">
        <v>52</v>
      </c>
      <c r="I42" s="101" t="s">
        <v>52</v>
      </c>
      <c r="J42" s="99"/>
    </row>
    <row r="43" spans="1:10" ht="24" customHeight="1" x14ac:dyDescent="0.25">
      <c r="A43" s="152"/>
      <c r="B43" s="120" t="s">
        <v>84</v>
      </c>
      <c r="C43" s="121">
        <v>46418</v>
      </c>
      <c r="D43" s="101" t="s">
        <v>28</v>
      </c>
      <c r="E43" s="98" t="s">
        <v>31</v>
      </c>
      <c r="F43" s="101" t="s">
        <v>35</v>
      </c>
      <c r="G43" s="101" t="s">
        <v>52</v>
      </c>
      <c r="H43" s="101" t="s">
        <v>52</v>
      </c>
      <c r="I43" s="101" t="s">
        <v>52</v>
      </c>
      <c r="J43" s="99"/>
    </row>
    <row r="44" spans="1:10" ht="24" customHeight="1" x14ac:dyDescent="0.25">
      <c r="A44" s="152"/>
      <c r="B44" s="97" t="s">
        <v>85</v>
      </c>
      <c r="C44" s="121">
        <v>46418</v>
      </c>
      <c r="D44" s="101" t="s">
        <v>28</v>
      </c>
      <c r="E44" s="98" t="s">
        <v>31</v>
      </c>
      <c r="F44" s="101" t="s">
        <v>35</v>
      </c>
      <c r="G44" s="101" t="s">
        <v>52</v>
      </c>
      <c r="H44" s="101" t="s">
        <v>52</v>
      </c>
      <c r="I44" s="101" t="s">
        <v>52</v>
      </c>
      <c r="J44" s="99"/>
    </row>
    <row r="45" spans="1:10" ht="24" customHeight="1" x14ac:dyDescent="0.25">
      <c r="A45" s="105" t="s">
        <v>34</v>
      </c>
      <c r="B45" s="97" t="s">
        <v>86</v>
      </c>
      <c r="C45" s="121">
        <v>46446</v>
      </c>
      <c r="D45" s="101" t="s">
        <v>87</v>
      </c>
      <c r="E45" s="98" t="s">
        <v>31</v>
      </c>
      <c r="F45" s="101" t="s">
        <v>35</v>
      </c>
      <c r="G45" s="101" t="s">
        <v>52</v>
      </c>
      <c r="H45" s="101" t="s">
        <v>52</v>
      </c>
      <c r="I45" s="101" t="s">
        <v>52</v>
      </c>
      <c r="J45" s="99"/>
    </row>
    <row r="46" spans="1:10" ht="24" customHeight="1" x14ac:dyDescent="0.25">
      <c r="A46" s="105" t="s">
        <v>34</v>
      </c>
      <c r="B46" s="97" t="s">
        <v>88</v>
      </c>
      <c r="C46" s="121">
        <v>46223</v>
      </c>
      <c r="D46" s="101" t="s">
        <v>89</v>
      </c>
      <c r="E46" s="98" t="s">
        <v>15</v>
      </c>
      <c r="F46" s="101" t="s">
        <v>35</v>
      </c>
      <c r="G46" s="101" t="s">
        <v>52</v>
      </c>
      <c r="H46" s="101" t="s">
        <v>52</v>
      </c>
      <c r="I46" s="101" t="s">
        <v>52</v>
      </c>
      <c r="J46" s="99"/>
    </row>
    <row r="47" spans="1:10" ht="24" customHeight="1" thickBot="1" x14ac:dyDescent="0.3">
      <c r="A47" s="106" t="s">
        <v>90</v>
      </c>
      <c r="B47" s="107" t="s">
        <v>91</v>
      </c>
      <c r="C47" s="127">
        <v>46477</v>
      </c>
      <c r="D47" s="108" t="s">
        <v>56</v>
      </c>
      <c r="E47" s="131" t="s">
        <v>31</v>
      </c>
      <c r="F47" s="108" t="s">
        <v>35</v>
      </c>
      <c r="G47" s="108" t="s">
        <v>52</v>
      </c>
      <c r="H47" s="108" t="s">
        <v>52</v>
      </c>
      <c r="I47" s="108" t="s">
        <v>52</v>
      </c>
      <c r="J47" s="109"/>
    </row>
  </sheetData>
  <autoFilter ref="A2:J47"/>
  <mergeCells count="8">
    <mergeCell ref="A21:A31"/>
    <mergeCell ref="A32:A44"/>
    <mergeCell ref="A1:F1"/>
    <mergeCell ref="H1:I1"/>
    <mergeCell ref="A5:A6"/>
    <mergeCell ref="A7:A8"/>
    <mergeCell ref="A9:A13"/>
    <mergeCell ref="A14:A20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0"/>
  <sheetViews>
    <sheetView tabSelected="1" zoomScaleNormal="100" workbookViewId="0">
      <selection activeCell="B105" sqref="B105:C105"/>
    </sheetView>
  </sheetViews>
  <sheetFormatPr defaultColWidth="8.84375" defaultRowHeight="14.25" customHeight="1" x14ac:dyDescent="0.35"/>
  <cols>
    <col min="1" max="1" width="21.4609375" style="123" customWidth="1"/>
    <col min="2" max="2" width="9.3828125" style="123" customWidth="1"/>
    <col min="3" max="3" width="38" style="123" customWidth="1"/>
    <col min="4" max="4" width="12.765625" style="123" hidden="1" customWidth="1"/>
    <col min="5" max="8" width="10" style="123" customWidth="1"/>
    <col min="9" max="9" width="9.15234375" style="123" customWidth="1"/>
    <col min="10" max="10" width="10.3828125" style="123" customWidth="1"/>
    <col min="11" max="11" width="32.84375" style="123" customWidth="1"/>
  </cols>
  <sheetData>
    <row r="1" spans="1:11" ht="14.25" customHeight="1" x14ac:dyDescent="0.35">
      <c r="A1" s="57" t="s">
        <v>92</v>
      </c>
      <c r="B1" s="58" t="s">
        <v>93</v>
      </c>
      <c r="C1" s="59"/>
      <c r="D1" s="60"/>
      <c r="E1" s="60"/>
      <c r="F1" s="60"/>
      <c r="G1" s="60"/>
      <c r="H1" s="60"/>
      <c r="I1" s="60"/>
      <c r="J1" s="66"/>
    </row>
    <row r="2" spans="1:11" ht="14.25" customHeight="1" x14ac:dyDescent="0.35">
      <c r="A2" s="57" t="s">
        <v>94</v>
      </c>
      <c r="B2" s="58">
        <v>46098</v>
      </c>
      <c r="C2" s="60"/>
      <c r="D2" s="60"/>
      <c r="E2" s="60"/>
      <c r="F2" s="60"/>
      <c r="G2" s="60"/>
      <c r="H2" s="60"/>
      <c r="I2" s="60"/>
      <c r="J2" s="66"/>
    </row>
    <row r="3" spans="1:11" ht="14.25" customHeight="1" x14ac:dyDescent="0.35">
      <c r="A3" s="57" t="s">
        <v>95</v>
      </c>
      <c r="B3" s="58">
        <v>46456</v>
      </c>
      <c r="C3" s="60"/>
      <c r="D3" s="60"/>
      <c r="E3" s="60"/>
      <c r="F3" s="60"/>
      <c r="G3" s="60"/>
      <c r="H3" s="60"/>
      <c r="I3" s="60"/>
      <c r="J3" s="66"/>
    </row>
    <row r="4" spans="1:11" ht="14.25" customHeight="1" x14ac:dyDescent="0.35">
      <c r="A4" s="57" t="s">
        <v>96</v>
      </c>
      <c r="B4" s="61">
        <f>B3-B2</f>
        <v>358</v>
      </c>
      <c r="C4" s="60"/>
      <c r="D4" s="60"/>
      <c r="E4" s="60"/>
      <c r="F4" s="60"/>
      <c r="G4" s="60"/>
      <c r="H4" s="60"/>
      <c r="I4" s="60"/>
      <c r="J4" s="66"/>
    </row>
    <row r="5" spans="1:11" ht="14.25" customHeight="1" x14ac:dyDescent="0.35">
      <c r="A5" s="57" t="s">
        <v>97</v>
      </c>
      <c r="B5" s="58" t="s">
        <v>98</v>
      </c>
      <c r="C5" s="60"/>
      <c r="D5" s="60"/>
      <c r="E5" s="60"/>
      <c r="F5" s="60"/>
      <c r="G5" s="60"/>
      <c r="H5" s="60"/>
      <c r="I5" s="60"/>
      <c r="J5" s="66"/>
    </row>
    <row r="6" spans="1:11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6"/>
    </row>
    <row r="7" spans="1:11" ht="14.25" customHeight="1" x14ac:dyDescent="0.35">
      <c r="A7" s="88" t="s">
        <v>99</v>
      </c>
      <c r="B7" s="89"/>
      <c r="C7" s="89"/>
      <c r="D7" s="89"/>
      <c r="E7" s="89"/>
      <c r="F7" s="89"/>
      <c r="G7" s="89"/>
      <c r="H7" s="89"/>
      <c r="I7" s="89"/>
      <c r="J7" s="65"/>
      <c r="K7" s="64"/>
    </row>
    <row r="8" spans="1:11" ht="14.25" customHeight="1" x14ac:dyDescent="0.35">
      <c r="A8" s="84" t="s">
        <v>100</v>
      </c>
      <c r="B8" s="52" t="s">
        <v>101</v>
      </c>
      <c r="C8" s="52" t="s">
        <v>102</v>
      </c>
      <c r="D8" s="52" t="s">
        <v>103</v>
      </c>
      <c r="E8" s="87" t="s">
        <v>94</v>
      </c>
      <c r="F8" s="87" t="s">
        <v>95</v>
      </c>
      <c r="G8" s="87"/>
      <c r="H8" s="87"/>
      <c r="I8" s="87" t="s">
        <v>104</v>
      </c>
      <c r="J8" s="62" t="s">
        <v>7</v>
      </c>
      <c r="K8" s="52" t="s">
        <v>3</v>
      </c>
    </row>
    <row r="9" spans="1:11" ht="14.25" hidden="1" customHeight="1" x14ac:dyDescent="0.35">
      <c r="A9" s="73"/>
      <c r="B9" s="74"/>
      <c r="C9" s="75" t="s">
        <v>105</v>
      </c>
      <c r="D9" s="76"/>
      <c r="E9" s="77">
        <f>MIN(E10:E15)</f>
        <v>46113</v>
      </c>
      <c r="F9" s="77">
        <f>MAX(F10:F15)</f>
        <v>46199</v>
      </c>
      <c r="G9" s="77"/>
      <c r="H9" s="77"/>
      <c r="I9" s="78">
        <f t="shared" ref="I9:I54" si="0">F9-E9+1</f>
        <v>87</v>
      </c>
      <c r="J9" s="63"/>
      <c r="K9" s="48"/>
    </row>
    <row r="10" spans="1:11" ht="14.25" hidden="1" customHeight="1" x14ac:dyDescent="0.35">
      <c r="A10" s="40" t="s">
        <v>106</v>
      </c>
      <c r="B10" s="40" t="str">
        <f t="shared" ref="B10:B18" si="1">"AR-"&amp;"00"&amp;ROW()-9</f>
        <v>AR-001</v>
      </c>
      <c r="C10" s="39" t="s">
        <v>107</v>
      </c>
      <c r="D10" s="49"/>
      <c r="E10" s="67">
        <v>46115</v>
      </c>
      <c r="F10" s="67">
        <v>46115</v>
      </c>
      <c r="G10" s="67"/>
      <c r="H10" s="67"/>
      <c r="I10" s="44">
        <f t="shared" si="0"/>
        <v>1</v>
      </c>
      <c r="J10" s="44" t="str">
        <f ca="1">IF(F10&lt;&gt;"","Completed",IF(I10=0,"To be start",IF(AND(A10&lt;TODAY(),I10&lt;&gt;100%),"Overdue","Ongoing")))</f>
        <v>Completed</v>
      </c>
      <c r="K10" s="46"/>
    </row>
    <row r="11" spans="1:11" ht="14.25" hidden="1" customHeight="1" x14ac:dyDescent="0.35">
      <c r="A11" s="40"/>
      <c r="B11" s="40" t="str">
        <f t="shared" si="1"/>
        <v>AR-002</v>
      </c>
      <c r="C11" s="39" t="s">
        <v>108</v>
      </c>
      <c r="D11" s="49"/>
      <c r="E11" s="67">
        <f>F10</f>
        <v>46115</v>
      </c>
      <c r="F11" s="67">
        <v>46135</v>
      </c>
      <c r="G11" s="67"/>
      <c r="H11" s="67"/>
      <c r="I11" s="44">
        <f t="shared" si="0"/>
        <v>21</v>
      </c>
      <c r="J11" s="44" t="str">
        <f ca="1">IF(F11&lt;&gt;"","Completed",IF(I11=0,"To be start",IF(AND(A11&lt;TODAY(),I11&lt;&gt;100%),"Overdue","Ongoing")))</f>
        <v>Completed</v>
      </c>
      <c r="K11" s="46"/>
    </row>
    <row r="12" spans="1:11" ht="14.25" hidden="1" customHeight="1" x14ac:dyDescent="0.35">
      <c r="A12" s="40"/>
      <c r="B12" s="40" t="str">
        <f t="shared" si="1"/>
        <v>AR-003</v>
      </c>
      <c r="C12" s="39" t="s">
        <v>109</v>
      </c>
      <c r="D12" s="49" t="s">
        <v>110</v>
      </c>
      <c r="E12" s="67">
        <v>46119</v>
      </c>
      <c r="F12" s="67">
        <v>46183</v>
      </c>
      <c r="G12" s="67"/>
      <c r="H12" s="67"/>
      <c r="I12" s="44">
        <f t="shared" si="0"/>
        <v>65</v>
      </c>
      <c r="J12" s="44" t="s">
        <v>15</v>
      </c>
      <c r="K12" s="46"/>
    </row>
    <row r="13" spans="1:11" ht="14.25" hidden="1" customHeight="1" x14ac:dyDescent="0.35">
      <c r="A13" s="40"/>
      <c r="B13" s="40" t="str">
        <f t="shared" si="1"/>
        <v>AR-004</v>
      </c>
      <c r="C13" s="39" t="s">
        <v>111</v>
      </c>
      <c r="D13" s="49" t="s">
        <v>112</v>
      </c>
      <c r="E13" s="67">
        <v>46113</v>
      </c>
      <c r="F13" s="67">
        <v>46157</v>
      </c>
      <c r="G13" s="67"/>
      <c r="H13" s="67"/>
      <c r="I13" s="44">
        <f t="shared" si="0"/>
        <v>45</v>
      </c>
      <c r="J13" s="44" t="str">
        <f ca="1">IF(F13&lt;&gt;"","Completed",IF(I13=0,"To be start",IF(AND(A13&lt;TODAY(),I13&lt;&gt;100%),"Overdue","Ongoing")))</f>
        <v>Completed</v>
      </c>
      <c r="K13" s="47"/>
    </row>
    <row r="14" spans="1:11" ht="14.25" hidden="1" customHeight="1" x14ac:dyDescent="0.35">
      <c r="A14" s="40"/>
      <c r="B14" s="40" t="str">
        <f t="shared" si="1"/>
        <v>AR-005</v>
      </c>
      <c r="C14" s="39" t="s">
        <v>113</v>
      </c>
      <c r="D14" s="49" t="s">
        <v>112</v>
      </c>
      <c r="E14" s="67">
        <f>F13</f>
        <v>46157</v>
      </c>
      <c r="F14" s="67">
        <v>46183</v>
      </c>
      <c r="G14" s="67"/>
      <c r="H14" s="67"/>
      <c r="I14" s="44">
        <f t="shared" si="0"/>
        <v>27</v>
      </c>
      <c r="J14" s="44" t="s">
        <v>15</v>
      </c>
      <c r="K14" s="41"/>
    </row>
    <row r="15" spans="1:11" ht="14.25" hidden="1" customHeight="1" x14ac:dyDescent="0.35">
      <c r="A15" s="40"/>
      <c r="B15" s="40" t="str">
        <f t="shared" si="1"/>
        <v>AR-006</v>
      </c>
      <c r="C15" s="39" t="s">
        <v>114</v>
      </c>
      <c r="D15" s="49" t="s">
        <v>110</v>
      </c>
      <c r="E15" s="67">
        <v>46196</v>
      </c>
      <c r="F15" s="67">
        <v>46199</v>
      </c>
      <c r="G15" s="67"/>
      <c r="H15" s="67"/>
      <c r="I15" s="44">
        <f t="shared" si="0"/>
        <v>4</v>
      </c>
      <c r="J15" s="44" t="s">
        <v>15</v>
      </c>
      <c r="K15" s="41"/>
    </row>
    <row r="16" spans="1:11" ht="14.25" hidden="1" customHeight="1" x14ac:dyDescent="0.35">
      <c r="A16" s="40"/>
      <c r="B16" s="40" t="str">
        <f t="shared" si="1"/>
        <v>AR-007</v>
      </c>
      <c r="C16" s="39" t="s">
        <v>115</v>
      </c>
      <c r="D16" s="49"/>
      <c r="E16" s="146">
        <v>46206</v>
      </c>
      <c r="F16" s="146">
        <v>46230</v>
      </c>
      <c r="G16" s="146"/>
      <c r="H16" s="146"/>
      <c r="I16" s="44"/>
      <c r="J16" s="135" t="s">
        <v>15</v>
      </c>
      <c r="K16" s="41"/>
    </row>
    <row r="17" spans="1:11" ht="14.25" hidden="1" customHeight="1" x14ac:dyDescent="0.35">
      <c r="A17" s="40"/>
      <c r="B17" s="40" t="str">
        <f t="shared" si="1"/>
        <v>AR-008</v>
      </c>
      <c r="C17" s="39" t="s">
        <v>116</v>
      </c>
      <c r="D17" s="49"/>
      <c r="E17" s="146">
        <v>46206</v>
      </c>
      <c r="F17" s="146">
        <v>46211</v>
      </c>
      <c r="G17" s="146"/>
      <c r="H17" s="146"/>
      <c r="I17" s="44"/>
      <c r="J17" s="135" t="s">
        <v>15</v>
      </c>
      <c r="K17" s="41"/>
    </row>
    <row r="18" spans="1:11" ht="14.25" hidden="1" customHeight="1" x14ac:dyDescent="0.35">
      <c r="A18" s="40"/>
      <c r="B18" s="40" t="str">
        <f t="shared" si="1"/>
        <v>AR-009</v>
      </c>
      <c r="C18" s="39" t="s">
        <v>117</v>
      </c>
      <c r="D18" s="136"/>
      <c r="E18" s="146">
        <v>46207</v>
      </c>
      <c r="F18" s="146">
        <v>46210</v>
      </c>
      <c r="G18" s="146"/>
      <c r="H18" s="146"/>
      <c r="I18" s="44"/>
      <c r="J18" s="135" t="s">
        <v>15</v>
      </c>
      <c r="K18" s="41"/>
    </row>
    <row r="19" spans="1:11" ht="14.25" hidden="1" customHeight="1" x14ac:dyDescent="0.35">
      <c r="A19" s="73"/>
      <c r="B19" s="74"/>
      <c r="C19" s="75" t="s">
        <v>118</v>
      </c>
      <c r="D19" s="76"/>
      <c r="E19" s="77">
        <f>MIN(E20:E34)</f>
        <v>46105</v>
      </c>
      <c r="F19" s="77">
        <f>MAX(F20:F34)</f>
        <v>46228</v>
      </c>
      <c r="G19" s="77"/>
      <c r="H19" s="77"/>
      <c r="I19" s="78">
        <f t="shared" si="0"/>
        <v>124</v>
      </c>
      <c r="J19" s="90"/>
      <c r="K19" s="48"/>
    </row>
    <row r="20" spans="1:11" ht="14.5" hidden="1" customHeight="1" x14ac:dyDescent="0.35">
      <c r="A20" s="50" t="s">
        <v>119</v>
      </c>
      <c r="B20" s="40" t="str">
        <f>"AR-"&amp;"0"&amp;ROW()-10</f>
        <v>AR-010</v>
      </c>
      <c r="C20" s="50" t="s">
        <v>120</v>
      </c>
      <c r="D20" s="49" t="s">
        <v>14</v>
      </c>
      <c r="E20" s="67">
        <v>46137</v>
      </c>
      <c r="F20" s="67">
        <v>46147</v>
      </c>
      <c r="G20" s="67"/>
      <c r="H20" s="67"/>
      <c r="I20" s="44">
        <f t="shared" si="0"/>
        <v>11</v>
      </c>
      <c r="J20" s="44" t="str">
        <f ca="1">IF(F20&lt;&gt;"","Completed",IF(I20=0,"To be start",IF(AND(A20&lt;TODAY(),I20&lt;&gt;100%),"Overdue","Ongoing")))</f>
        <v>Completed</v>
      </c>
      <c r="K20" s="47"/>
    </row>
    <row r="21" spans="1:11" ht="14.5" hidden="1" customHeight="1" x14ac:dyDescent="0.35">
      <c r="A21" s="50"/>
      <c r="B21" s="40" t="str">
        <f>"AR-"&amp;"0"&amp;ROW()-10</f>
        <v>AR-011</v>
      </c>
      <c r="C21" s="50" t="s">
        <v>121</v>
      </c>
      <c r="D21" s="49" t="s">
        <v>14</v>
      </c>
      <c r="E21" s="67">
        <v>46105</v>
      </c>
      <c r="F21" s="67">
        <v>46152</v>
      </c>
      <c r="G21" s="67"/>
      <c r="H21" s="67"/>
      <c r="I21" s="44">
        <f t="shared" si="0"/>
        <v>48</v>
      </c>
      <c r="J21" s="44" t="str">
        <f ca="1">IF(F21&lt;&gt;"","Completed",IF(I21=0,"To be start",IF(AND(A21&lt;TODAY(),I21&lt;&gt;100%),"Overdue","Ongoing")))</f>
        <v>Completed</v>
      </c>
      <c r="K21" s="91"/>
    </row>
    <row r="22" spans="1:11" ht="14.5" hidden="1" customHeight="1" x14ac:dyDescent="0.35">
      <c r="A22" s="50"/>
      <c r="B22" s="40" t="str">
        <f>"AR-"&amp;"0"&amp;ROW()-10</f>
        <v>AR-012</v>
      </c>
      <c r="C22" s="50" t="s">
        <v>122</v>
      </c>
      <c r="D22" s="49" t="s">
        <v>14</v>
      </c>
      <c r="E22" s="67">
        <v>46190</v>
      </c>
      <c r="F22" s="67">
        <v>46203</v>
      </c>
      <c r="G22" s="67"/>
      <c r="H22" s="67"/>
      <c r="I22" s="44">
        <f t="shared" si="0"/>
        <v>14</v>
      </c>
      <c r="J22" s="44" t="s">
        <v>15</v>
      </c>
      <c r="K22" s="91"/>
    </row>
    <row r="23" spans="1:11" ht="14.5" hidden="1" customHeight="1" x14ac:dyDescent="0.35">
      <c r="A23" s="50" t="s">
        <v>123</v>
      </c>
      <c r="B23" s="40" t="str">
        <f t="shared" ref="B23:B34" si="2">"AR-"&amp;"0"&amp;ROW()-10</f>
        <v>AR-013</v>
      </c>
      <c r="C23" s="50" t="s">
        <v>124</v>
      </c>
      <c r="D23" s="49" t="s">
        <v>14</v>
      </c>
      <c r="E23" s="67">
        <v>46137</v>
      </c>
      <c r="F23" s="67">
        <v>46147</v>
      </c>
      <c r="G23" s="67"/>
      <c r="H23" s="67"/>
      <c r="I23" s="44">
        <f t="shared" si="0"/>
        <v>11</v>
      </c>
      <c r="J23" s="44" t="str">
        <f ca="1">IF(F23&lt;&gt;"","Completed",IF(I23=0,"To be start",IF(AND(A23&lt;TODAY(),I23&lt;&gt;100%),"Overdue","Ongoing")))</f>
        <v>Completed</v>
      </c>
      <c r="K23" s="47"/>
    </row>
    <row r="24" spans="1:11" ht="14.5" hidden="1" customHeight="1" x14ac:dyDescent="0.35">
      <c r="A24" s="50"/>
      <c r="B24" s="40" t="str">
        <f t="shared" si="2"/>
        <v>AR-014</v>
      </c>
      <c r="C24" s="50" t="s">
        <v>125</v>
      </c>
      <c r="D24" s="49" t="s">
        <v>14</v>
      </c>
      <c r="E24" s="67">
        <v>46105</v>
      </c>
      <c r="F24" s="67">
        <v>46152</v>
      </c>
      <c r="G24" s="67"/>
      <c r="H24" s="67"/>
      <c r="I24" s="44">
        <f t="shared" si="0"/>
        <v>48</v>
      </c>
      <c r="J24" s="44" t="str">
        <f ca="1">IF(F24&lt;&gt;"","Completed",IF(I24=0,"To be start",IF(AND(A24&lt;TODAY(),I24&lt;&gt;100%),"Overdue","Ongoing")))</f>
        <v>Completed</v>
      </c>
      <c r="K24" s="91"/>
    </row>
    <row r="25" spans="1:11" ht="14.5" hidden="1" customHeight="1" x14ac:dyDescent="0.35">
      <c r="A25" s="50" t="s">
        <v>126</v>
      </c>
      <c r="B25" s="40" t="str">
        <f t="shared" si="2"/>
        <v>AR-015</v>
      </c>
      <c r="C25" s="50" t="s">
        <v>127</v>
      </c>
      <c r="D25" s="49" t="s">
        <v>14</v>
      </c>
      <c r="E25" s="67">
        <v>46204</v>
      </c>
      <c r="F25" s="67">
        <v>46218</v>
      </c>
      <c r="G25" s="67"/>
      <c r="H25" s="67"/>
      <c r="I25" s="44">
        <f t="shared" si="0"/>
        <v>15</v>
      </c>
      <c r="J25" s="44" t="s">
        <v>15</v>
      </c>
      <c r="K25" s="91"/>
    </row>
    <row r="26" spans="1:11" ht="14.5" hidden="1" customHeight="1" x14ac:dyDescent="0.35">
      <c r="A26" s="50" t="s">
        <v>93</v>
      </c>
      <c r="B26" s="40" t="str">
        <f t="shared" si="2"/>
        <v>AR-016</v>
      </c>
      <c r="C26" s="50" t="s">
        <v>128</v>
      </c>
      <c r="D26" s="49" t="s">
        <v>14</v>
      </c>
      <c r="E26" s="67">
        <v>46142</v>
      </c>
      <c r="F26" s="67">
        <v>46152</v>
      </c>
      <c r="G26" s="67"/>
      <c r="H26" s="67"/>
      <c r="I26" s="44">
        <f t="shared" si="0"/>
        <v>11</v>
      </c>
      <c r="J26" s="44" t="str">
        <f ca="1">IF(F26&lt;&gt;"","Completed",IF(I26=0,"To be start",IF(AND(A26&lt;TODAY(),I26&lt;&gt;100%),"Overdue","Ongoing")))</f>
        <v>Completed</v>
      </c>
      <c r="K26" s="47"/>
    </row>
    <row r="27" spans="1:11" ht="14.5" hidden="1" customHeight="1" x14ac:dyDescent="0.35">
      <c r="A27" s="50"/>
      <c r="B27" s="40" t="str">
        <f t="shared" si="2"/>
        <v>AR-017</v>
      </c>
      <c r="C27" s="50" t="s">
        <v>129</v>
      </c>
      <c r="D27" s="49" t="s">
        <v>14</v>
      </c>
      <c r="E27" s="67">
        <v>46215</v>
      </c>
      <c r="F27" s="67">
        <v>46228</v>
      </c>
      <c r="G27" s="67"/>
      <c r="H27" s="67"/>
      <c r="I27" s="44">
        <f t="shared" si="0"/>
        <v>14</v>
      </c>
      <c r="J27" s="44" t="s">
        <v>15</v>
      </c>
      <c r="K27" s="91"/>
    </row>
    <row r="28" spans="1:11" ht="14.5" hidden="1" customHeight="1" x14ac:dyDescent="0.35">
      <c r="A28" s="50"/>
      <c r="B28" s="40" t="str">
        <f t="shared" si="2"/>
        <v>AR-018</v>
      </c>
      <c r="C28" s="50" t="s">
        <v>130</v>
      </c>
      <c r="D28" s="49" t="s">
        <v>14</v>
      </c>
      <c r="E28" s="67">
        <v>46142</v>
      </c>
      <c r="F28" s="67">
        <v>46157</v>
      </c>
      <c r="G28" s="67"/>
      <c r="H28" s="67"/>
      <c r="I28" s="44">
        <f t="shared" si="0"/>
        <v>16</v>
      </c>
      <c r="J28" s="44" t="str">
        <f ca="1">IF(F28&lt;&gt;"","Completed",IF(I28=0,"To be start",IF(AND(A28&lt;TODAY(),I28&lt;&gt;100%),"Overdue","Ongoing")))</f>
        <v>Completed</v>
      </c>
      <c r="K28" s="47"/>
    </row>
    <row r="29" spans="1:11" ht="14.5" hidden="1" customHeight="1" x14ac:dyDescent="0.35">
      <c r="A29" s="50"/>
      <c r="B29" s="40" t="str">
        <f t="shared" si="2"/>
        <v>AR-019</v>
      </c>
      <c r="C29" s="50" t="s">
        <v>131</v>
      </c>
      <c r="D29" s="49" t="s">
        <v>14</v>
      </c>
      <c r="E29" s="67">
        <v>46152</v>
      </c>
      <c r="F29" s="67">
        <v>46167</v>
      </c>
      <c r="G29" s="67"/>
      <c r="H29" s="67"/>
      <c r="I29" s="44">
        <f t="shared" si="0"/>
        <v>16</v>
      </c>
      <c r="J29" s="44" t="str">
        <f ca="1">IF(F29&lt;&gt;"","Completed",IF(I29=0,"To be start",IF(AND(A29&lt;TODAY(),I29&lt;&gt;100%),"Overdue","Ongoing")))</f>
        <v>Completed</v>
      </c>
      <c r="K29" s="47"/>
    </row>
    <row r="30" spans="1:11" ht="14.5" hidden="1" customHeight="1" x14ac:dyDescent="0.35">
      <c r="A30" s="50"/>
      <c r="B30" s="40" t="str">
        <f t="shared" si="2"/>
        <v>AR-020</v>
      </c>
      <c r="C30" s="50" t="s">
        <v>132</v>
      </c>
      <c r="D30" s="49" t="s">
        <v>14</v>
      </c>
      <c r="E30" s="67">
        <v>46157</v>
      </c>
      <c r="F30" s="67">
        <v>46172</v>
      </c>
      <c r="G30" s="67"/>
      <c r="H30" s="67"/>
      <c r="I30" s="44">
        <f t="shared" si="0"/>
        <v>16</v>
      </c>
      <c r="J30" s="44" t="str">
        <f ca="1">IF(F30&lt;&gt;"","Completed",IF(I30=0,"To be start",IF(AND(A30&lt;TODAY(),I30&lt;&gt;100%),"Overdue","Ongoing")))</f>
        <v>Completed</v>
      </c>
      <c r="K30" s="47"/>
    </row>
    <row r="31" spans="1:11" ht="14.5" hidden="1" customHeight="1" x14ac:dyDescent="0.35">
      <c r="A31" s="50"/>
      <c r="B31" s="40" t="str">
        <f t="shared" si="2"/>
        <v>AR-021</v>
      </c>
      <c r="C31" s="139" t="s">
        <v>133</v>
      </c>
      <c r="D31" s="49" t="s">
        <v>14</v>
      </c>
      <c r="E31" s="67">
        <v>46142</v>
      </c>
      <c r="F31" s="67">
        <v>46152</v>
      </c>
      <c r="G31" s="67"/>
      <c r="H31" s="67"/>
      <c r="I31" s="44">
        <f t="shared" si="0"/>
        <v>11</v>
      </c>
      <c r="J31" s="44" t="str">
        <f ca="1">IF(F31&lt;&gt;"","Completed",IF(I31=0,"To be start",IF(AND(A31&lt;TODAY(),I31&lt;&gt;100%),"Overdue","Ongoing")))</f>
        <v>Completed</v>
      </c>
      <c r="K31" s="47"/>
    </row>
    <row r="32" spans="1:11" ht="14.5" hidden="1" customHeight="1" x14ac:dyDescent="0.35">
      <c r="A32" s="50"/>
      <c r="B32" s="40" t="str">
        <f t="shared" si="2"/>
        <v>AR-022</v>
      </c>
      <c r="C32" s="139" t="s">
        <v>134</v>
      </c>
      <c r="D32" s="49" t="s">
        <v>14</v>
      </c>
      <c r="E32" s="67">
        <v>46137</v>
      </c>
      <c r="F32" s="67">
        <v>46147</v>
      </c>
      <c r="G32" s="67"/>
      <c r="H32" s="67"/>
      <c r="I32" s="44">
        <f t="shared" si="0"/>
        <v>11</v>
      </c>
      <c r="J32" s="44" t="str">
        <f ca="1">IF(F32&lt;&gt;"","Completed",IF(I32=0,"To be start",IF(AND(A32&lt;TODAY(),I32&lt;&gt;100%),"Overdue","Ongoing")))</f>
        <v>Completed</v>
      </c>
      <c r="K32" s="47"/>
    </row>
    <row r="33" spans="1:11" ht="14.5" hidden="1" customHeight="1" x14ac:dyDescent="0.35">
      <c r="A33" s="50"/>
      <c r="B33" s="40" t="str">
        <f t="shared" si="2"/>
        <v>AR-023</v>
      </c>
      <c r="C33" s="139" t="s">
        <v>135</v>
      </c>
      <c r="D33" s="49" t="s">
        <v>14</v>
      </c>
      <c r="E33" s="67">
        <v>46210</v>
      </c>
      <c r="F33" s="67">
        <v>46223</v>
      </c>
      <c r="G33" s="67"/>
      <c r="H33" s="67"/>
      <c r="I33" s="44">
        <f t="shared" si="0"/>
        <v>14</v>
      </c>
      <c r="J33" s="44" t="s">
        <v>15</v>
      </c>
      <c r="K33" s="91"/>
    </row>
    <row r="34" spans="1:11" ht="14.5" hidden="1" customHeight="1" x14ac:dyDescent="0.35">
      <c r="A34" s="50"/>
      <c r="B34" s="40" t="str">
        <f t="shared" si="2"/>
        <v>AR-024</v>
      </c>
      <c r="C34" s="50" t="s">
        <v>136</v>
      </c>
      <c r="D34" s="49" t="s">
        <v>14</v>
      </c>
      <c r="E34" s="67">
        <v>46113</v>
      </c>
      <c r="F34" s="67">
        <v>46184</v>
      </c>
      <c r="G34" s="67"/>
      <c r="H34" s="67"/>
      <c r="I34" s="44">
        <f t="shared" si="0"/>
        <v>72</v>
      </c>
      <c r="J34" s="44" t="str">
        <f ca="1">IF(F34&lt;&gt;"","Completed",IF(I34=0,"To be start",IF(AND(A34&lt;TODAY(),I34&lt;&gt;100%),"Overdue","Ongoing")))</f>
        <v>Completed</v>
      </c>
      <c r="K34" s="47"/>
    </row>
    <row r="35" spans="1:11" ht="14.25" hidden="1" customHeight="1" x14ac:dyDescent="0.35">
      <c r="A35" s="79"/>
      <c r="B35" s="80"/>
      <c r="C35" s="75" t="s">
        <v>137</v>
      </c>
      <c r="D35" s="76"/>
      <c r="E35" s="77">
        <f>MIN(E36:E45)</f>
        <v>46106</v>
      </c>
      <c r="F35" s="77">
        <f>MAX(F36:F45)</f>
        <v>46226</v>
      </c>
      <c r="G35" s="77"/>
      <c r="H35" s="77"/>
      <c r="I35" s="78">
        <f t="shared" si="0"/>
        <v>121</v>
      </c>
      <c r="J35" s="90"/>
      <c r="K35" s="48"/>
    </row>
    <row r="36" spans="1:11" ht="14.25" hidden="1" customHeight="1" x14ac:dyDescent="0.35">
      <c r="A36" s="81" t="s">
        <v>138</v>
      </c>
      <c r="B36" s="40" t="str">
        <f t="shared" ref="B36:B45" si="3">"AR-"&amp;"0"&amp;ROW()-11</f>
        <v>AR-025</v>
      </c>
      <c r="C36" s="40" t="s">
        <v>139</v>
      </c>
      <c r="D36" s="49" t="s">
        <v>28</v>
      </c>
      <c r="E36" s="67">
        <v>46119</v>
      </c>
      <c r="F36" s="67">
        <v>46188</v>
      </c>
      <c r="G36" s="67"/>
      <c r="H36" s="67"/>
      <c r="I36" s="44">
        <f t="shared" si="0"/>
        <v>70</v>
      </c>
      <c r="J36" s="44" t="s">
        <v>15</v>
      </c>
      <c r="K36" s="45"/>
    </row>
    <row r="37" spans="1:11" ht="14.25" hidden="1" customHeight="1" x14ac:dyDescent="0.35">
      <c r="A37" s="41" t="s">
        <v>140</v>
      </c>
      <c r="B37" s="40" t="str">
        <f t="shared" si="3"/>
        <v>AR-026</v>
      </c>
      <c r="C37" s="40" t="s">
        <v>141</v>
      </c>
      <c r="D37" s="49" t="s">
        <v>142</v>
      </c>
      <c r="E37" s="67">
        <v>46106</v>
      </c>
      <c r="F37" s="67">
        <v>46137</v>
      </c>
      <c r="G37" s="67"/>
      <c r="H37" s="67"/>
      <c r="I37" s="44">
        <f t="shared" si="0"/>
        <v>32</v>
      </c>
      <c r="J37" s="44" t="str">
        <f ca="1">IF(F37&lt;&gt;"","Completed",IF(I37=0,"To be start",IF(AND(A37&lt;TODAY(),I37&lt;&gt;100%),"Overdue","Ongoing")))</f>
        <v>Completed</v>
      </c>
      <c r="K37" s="45"/>
    </row>
    <row r="38" spans="1:11" s="71" customFormat="1" ht="15" hidden="1" customHeight="1" x14ac:dyDescent="0.35">
      <c r="A38" s="159" t="s">
        <v>143</v>
      </c>
      <c r="B38" s="40" t="str">
        <f t="shared" si="3"/>
        <v>AR-027</v>
      </c>
      <c r="C38" s="40" t="s">
        <v>144</v>
      </c>
      <c r="D38" s="49" t="s">
        <v>142</v>
      </c>
      <c r="E38" s="67">
        <v>46128</v>
      </c>
      <c r="F38" s="67">
        <v>46141</v>
      </c>
      <c r="G38" s="67"/>
      <c r="H38" s="67"/>
      <c r="I38" s="44">
        <f t="shared" si="0"/>
        <v>14</v>
      </c>
      <c r="J38" s="44" t="str">
        <f ca="1">IF(F38&lt;&gt;"","Completed",IF(I38=0,"To be start",IF(AND(A38&lt;TODAY(),I38&lt;&gt;100%),"Overdue","Ongoing")))</f>
        <v>Completed</v>
      </c>
      <c r="K38" s="45"/>
    </row>
    <row r="39" spans="1:11" ht="14.25" hidden="1" customHeight="1" x14ac:dyDescent="0.35">
      <c r="A39" s="160"/>
      <c r="B39" s="40" t="str">
        <f t="shared" si="3"/>
        <v>AR-028</v>
      </c>
      <c r="C39" s="40" t="s">
        <v>145</v>
      </c>
      <c r="D39" s="49" t="s">
        <v>142</v>
      </c>
      <c r="E39" s="67">
        <v>46128</v>
      </c>
      <c r="F39" s="67">
        <v>46143</v>
      </c>
      <c r="G39" s="67"/>
      <c r="H39" s="67"/>
      <c r="I39" s="44">
        <f t="shared" si="0"/>
        <v>16</v>
      </c>
      <c r="J39" s="44" t="str">
        <f ca="1">IF(F39&lt;&gt;"","Completed",IF(I39=0,"To be start",IF(AND(A39&lt;TODAY(),I39&lt;&gt;100%),"Overdue","Ongoing")))</f>
        <v>Completed</v>
      </c>
      <c r="K39" s="41"/>
    </row>
    <row r="40" spans="1:11" ht="14.25" hidden="1" customHeight="1" x14ac:dyDescent="0.35">
      <c r="A40" s="160"/>
      <c r="B40" s="40" t="str">
        <f t="shared" si="3"/>
        <v>AR-029</v>
      </c>
      <c r="C40" s="40" t="s">
        <v>146</v>
      </c>
      <c r="D40" s="49" t="s">
        <v>142</v>
      </c>
      <c r="E40" s="67">
        <v>46136</v>
      </c>
      <c r="F40" s="67">
        <v>46157</v>
      </c>
      <c r="G40" s="67"/>
      <c r="H40" s="67"/>
      <c r="I40" s="44">
        <f t="shared" si="0"/>
        <v>22</v>
      </c>
      <c r="J40" s="44" t="str">
        <f ca="1">IF(F40&lt;&gt;"","Completed",IF(I40=0,"To be start",IF(AND(A40&lt;TODAY(),I40&lt;&gt;100%),"Overdue","Ongoing")))</f>
        <v>Completed</v>
      </c>
      <c r="K40" s="41"/>
    </row>
    <row r="41" spans="1:11" ht="14.25" hidden="1" customHeight="1" x14ac:dyDescent="0.35">
      <c r="A41" s="160"/>
      <c r="B41" s="40" t="str">
        <f t="shared" si="3"/>
        <v>AR-030</v>
      </c>
      <c r="C41" s="40" t="s">
        <v>147</v>
      </c>
      <c r="D41" s="49" t="s">
        <v>142</v>
      </c>
      <c r="E41" s="67">
        <v>46153</v>
      </c>
      <c r="F41" s="67">
        <v>46188</v>
      </c>
      <c r="G41" s="67"/>
      <c r="H41" s="67"/>
      <c r="I41" s="44">
        <f t="shared" si="0"/>
        <v>36</v>
      </c>
      <c r="J41" s="44" t="s">
        <v>15</v>
      </c>
      <c r="K41" s="70"/>
    </row>
    <row r="42" spans="1:11" ht="14.25" hidden="1" customHeight="1" x14ac:dyDescent="0.35">
      <c r="A42" s="160"/>
      <c r="B42" s="40" t="str">
        <f t="shared" si="3"/>
        <v>AR-031</v>
      </c>
      <c r="C42" s="40" t="s">
        <v>148</v>
      </c>
      <c r="D42" s="49" t="s">
        <v>149</v>
      </c>
      <c r="E42" s="67">
        <v>46189</v>
      </c>
      <c r="F42" s="67">
        <v>46221</v>
      </c>
      <c r="G42" s="67"/>
      <c r="H42" s="67"/>
      <c r="I42" s="44">
        <f t="shared" si="0"/>
        <v>33</v>
      </c>
      <c r="J42" s="44" t="s">
        <v>15</v>
      </c>
      <c r="K42" s="41"/>
    </row>
    <row r="43" spans="1:11" ht="14.25" hidden="1" customHeight="1" x14ac:dyDescent="0.35">
      <c r="A43" s="160"/>
      <c r="B43" s="40" t="str">
        <f t="shared" si="3"/>
        <v>AR-032</v>
      </c>
      <c r="C43" s="40" t="s">
        <v>150</v>
      </c>
      <c r="D43" s="49" t="s">
        <v>14</v>
      </c>
      <c r="E43" s="67">
        <v>46201</v>
      </c>
      <c r="F43" s="67">
        <v>46205</v>
      </c>
      <c r="G43" s="67"/>
      <c r="H43" s="67"/>
      <c r="I43" s="44">
        <f t="shared" si="0"/>
        <v>5</v>
      </c>
      <c r="J43" s="44" t="s">
        <v>15</v>
      </c>
      <c r="K43" s="41"/>
    </row>
    <row r="44" spans="1:11" s="123" customFormat="1" ht="14.25" hidden="1" customHeight="1" x14ac:dyDescent="0.35">
      <c r="A44" s="160"/>
      <c r="B44" s="40" t="str">
        <f t="shared" si="3"/>
        <v>AR-033</v>
      </c>
      <c r="C44" s="40" t="s">
        <v>151</v>
      </c>
      <c r="D44" s="49" t="s">
        <v>14</v>
      </c>
      <c r="E44" s="67">
        <v>46222</v>
      </c>
      <c r="F44" s="67">
        <v>46226</v>
      </c>
      <c r="G44" s="67"/>
      <c r="H44" s="67"/>
      <c r="I44" s="44">
        <f t="shared" si="0"/>
        <v>5</v>
      </c>
      <c r="J44" s="44" t="s">
        <v>15</v>
      </c>
      <c r="K44" s="41"/>
    </row>
    <row r="45" spans="1:11" ht="14.25" hidden="1" customHeight="1" x14ac:dyDescent="0.35">
      <c r="A45" s="161"/>
      <c r="B45" s="40" t="str">
        <f t="shared" si="3"/>
        <v>AR-034</v>
      </c>
      <c r="C45" s="117" t="s">
        <v>13</v>
      </c>
      <c r="D45" s="49" t="s">
        <v>14</v>
      </c>
      <c r="E45" s="67">
        <v>46149</v>
      </c>
      <c r="F45" s="67">
        <v>46185</v>
      </c>
      <c r="G45" s="67"/>
      <c r="H45" s="67"/>
      <c r="I45" s="44">
        <f t="shared" si="0"/>
        <v>37</v>
      </c>
      <c r="J45" s="44" t="s">
        <v>15</v>
      </c>
      <c r="K45" s="91"/>
    </row>
    <row r="46" spans="1:11" ht="14.25" hidden="1" customHeight="1" x14ac:dyDescent="0.35">
      <c r="A46" s="79"/>
      <c r="B46" s="80"/>
      <c r="C46" s="75" t="s">
        <v>152</v>
      </c>
      <c r="D46" s="76"/>
      <c r="E46" s="77">
        <f>MIN(E47:E54)</f>
        <v>46122</v>
      </c>
      <c r="F46" s="77">
        <f>MAX(F47:F54)</f>
        <v>46227</v>
      </c>
      <c r="G46" s="77"/>
      <c r="H46" s="77"/>
      <c r="I46" s="78">
        <f t="shared" si="0"/>
        <v>106</v>
      </c>
      <c r="J46" s="90"/>
      <c r="K46" s="48"/>
    </row>
    <row r="47" spans="1:11" ht="16.899999999999999" hidden="1" customHeight="1" x14ac:dyDescent="0.35">
      <c r="A47" s="42" t="s">
        <v>138</v>
      </c>
      <c r="B47" s="40" t="str">
        <f t="shared" ref="B47:B54" si="4">"AR-"&amp;"0"&amp;ROW()-12</f>
        <v>AR-035</v>
      </c>
      <c r="C47" s="40" t="s">
        <v>153</v>
      </c>
      <c r="D47" s="49" t="s">
        <v>154</v>
      </c>
      <c r="E47" s="67">
        <v>46122</v>
      </c>
      <c r="F47" s="67">
        <v>46162</v>
      </c>
      <c r="G47" s="67"/>
      <c r="H47" s="67"/>
      <c r="I47" s="44">
        <f t="shared" si="0"/>
        <v>41</v>
      </c>
      <c r="J47" s="44" t="str">
        <f ca="1">IF(F47&lt;&gt;"","Completed",IF(I47=0,"To be start",IF(AND(A47&lt;TODAY(),I47&lt;&gt;100%),"Overdue","Ongoing")))</f>
        <v>Completed</v>
      </c>
      <c r="K47" s="45"/>
    </row>
    <row r="48" spans="1:11" ht="16.899999999999999" hidden="1" customHeight="1" x14ac:dyDescent="0.35">
      <c r="A48" s="82"/>
      <c r="B48" s="40" t="str">
        <f t="shared" si="4"/>
        <v>AR-036</v>
      </c>
      <c r="C48" s="40" t="s">
        <v>155</v>
      </c>
      <c r="D48" s="49" t="s">
        <v>156</v>
      </c>
      <c r="E48" s="67">
        <v>46153</v>
      </c>
      <c r="F48" s="67">
        <v>46167</v>
      </c>
      <c r="G48" s="67"/>
      <c r="H48" s="67"/>
      <c r="I48" s="44">
        <f t="shared" si="0"/>
        <v>15</v>
      </c>
      <c r="J48" s="44" t="str">
        <f ca="1">IF(F48&lt;&gt;"","Completed",IF(I48=0,"To be start",IF(AND(A48&lt;TODAY(),I48&lt;&gt;100%),"Overdue","Ongoing")))</f>
        <v>Completed</v>
      </c>
      <c r="K48" s="41"/>
    </row>
    <row r="49" spans="1:11" ht="16.899999999999999" hidden="1" customHeight="1" x14ac:dyDescent="0.35">
      <c r="A49" s="157" t="s">
        <v>157</v>
      </c>
      <c r="B49" s="40" t="str">
        <f t="shared" si="4"/>
        <v>AR-037</v>
      </c>
      <c r="C49" s="40" t="s">
        <v>158</v>
      </c>
      <c r="D49" s="49" t="s">
        <v>142</v>
      </c>
      <c r="E49" s="67">
        <v>46134</v>
      </c>
      <c r="F49" s="67">
        <v>46197</v>
      </c>
      <c r="G49" s="67"/>
      <c r="H49" s="67"/>
      <c r="I49" s="44">
        <f t="shared" si="0"/>
        <v>64</v>
      </c>
      <c r="J49" s="44" t="s">
        <v>15</v>
      </c>
      <c r="K49" s="41"/>
    </row>
    <row r="50" spans="1:11" s="123" customFormat="1" ht="16.899999999999999" hidden="1" customHeight="1" x14ac:dyDescent="0.35">
      <c r="A50" s="158"/>
      <c r="B50" s="40" t="str">
        <f t="shared" si="4"/>
        <v>AR-038</v>
      </c>
      <c r="C50" s="40" t="s">
        <v>159</v>
      </c>
      <c r="D50" s="49" t="s">
        <v>149</v>
      </c>
      <c r="E50" s="67">
        <v>46169</v>
      </c>
      <c r="F50" s="67">
        <v>46218</v>
      </c>
      <c r="G50" s="67"/>
      <c r="H50" s="67"/>
      <c r="I50" s="44">
        <f t="shared" si="0"/>
        <v>50</v>
      </c>
      <c r="J50" s="44" t="s">
        <v>15</v>
      </c>
      <c r="K50" s="41"/>
    </row>
    <row r="51" spans="1:11" ht="16.5" hidden="1" customHeight="1" x14ac:dyDescent="0.35">
      <c r="A51" s="158"/>
      <c r="B51" s="40" t="str">
        <f t="shared" si="4"/>
        <v>AR-039</v>
      </c>
      <c r="C51" s="40" t="s">
        <v>160</v>
      </c>
      <c r="D51" s="49" t="s">
        <v>14</v>
      </c>
      <c r="E51" s="67">
        <v>46185</v>
      </c>
      <c r="F51" s="67">
        <v>46193</v>
      </c>
      <c r="G51" s="67"/>
      <c r="H51" s="67"/>
      <c r="I51" s="44">
        <f t="shared" si="0"/>
        <v>9</v>
      </c>
      <c r="J51" s="44" t="s">
        <v>15</v>
      </c>
      <c r="K51" s="119"/>
    </row>
    <row r="52" spans="1:11" ht="16.899999999999999" hidden="1" customHeight="1" x14ac:dyDescent="0.35">
      <c r="A52" s="158"/>
      <c r="B52" s="40" t="str">
        <f t="shared" si="4"/>
        <v>AR-040</v>
      </c>
      <c r="C52" s="40" t="s">
        <v>161</v>
      </c>
      <c r="D52" s="49" t="s">
        <v>14</v>
      </c>
      <c r="E52" s="67">
        <v>46199</v>
      </c>
      <c r="F52" s="67">
        <v>46207</v>
      </c>
      <c r="G52" s="67"/>
      <c r="H52" s="67"/>
      <c r="I52" s="44">
        <f t="shared" si="0"/>
        <v>9</v>
      </c>
      <c r="J52" s="44" t="s">
        <v>15</v>
      </c>
      <c r="K52" s="41"/>
    </row>
    <row r="53" spans="1:11" ht="16.899999999999999" hidden="1" customHeight="1" x14ac:dyDescent="0.35">
      <c r="A53" s="158"/>
      <c r="B53" s="40" t="str">
        <f t="shared" si="4"/>
        <v>AR-041</v>
      </c>
      <c r="C53" s="40" t="s">
        <v>162</v>
      </c>
      <c r="D53" s="49" t="s">
        <v>14</v>
      </c>
      <c r="E53" s="67">
        <v>46219</v>
      </c>
      <c r="F53" s="67">
        <v>46227</v>
      </c>
      <c r="G53" s="67"/>
      <c r="H53" s="67"/>
      <c r="I53" s="44">
        <f t="shared" si="0"/>
        <v>9</v>
      </c>
      <c r="J53" s="44" t="s">
        <v>15</v>
      </c>
      <c r="K53" s="41"/>
    </row>
    <row r="54" spans="1:11" ht="16.899999999999999" hidden="1" customHeight="1" x14ac:dyDescent="0.35">
      <c r="A54" s="158"/>
      <c r="B54" s="40" t="str">
        <f t="shared" si="4"/>
        <v>AR-042</v>
      </c>
      <c r="C54" s="117" t="s">
        <v>18</v>
      </c>
      <c r="D54" s="49" t="s">
        <v>14</v>
      </c>
      <c r="E54" s="67">
        <v>46149</v>
      </c>
      <c r="F54" s="67">
        <v>46185</v>
      </c>
      <c r="G54" s="67"/>
      <c r="H54" s="67"/>
      <c r="I54" s="44">
        <f t="shared" si="0"/>
        <v>37</v>
      </c>
      <c r="J54" s="44" t="s">
        <v>15</v>
      </c>
      <c r="K54" s="91"/>
    </row>
    <row r="55" spans="1:11" s="123" customFormat="1" ht="14.25" hidden="1" customHeight="1" x14ac:dyDescent="0.35">
      <c r="A55" s="79"/>
      <c r="B55" s="80"/>
      <c r="C55" s="75" t="s">
        <v>163</v>
      </c>
      <c r="D55" s="76"/>
      <c r="E55" s="77">
        <f>MIN(E56:E68)</f>
        <v>46182</v>
      </c>
      <c r="F55" s="77">
        <f>MAX(F56:F68)</f>
        <v>46242</v>
      </c>
      <c r="G55" s="77"/>
      <c r="H55" s="77"/>
      <c r="I55" s="78"/>
      <c r="J55" s="90"/>
      <c r="K55" s="48"/>
    </row>
    <row r="56" spans="1:11" ht="14.25" hidden="1" customHeight="1" x14ac:dyDescent="0.35">
      <c r="A56" s="40" t="s">
        <v>138</v>
      </c>
      <c r="B56" s="40" t="str">
        <f t="shared" ref="B56:B68" si="5">"AR-"&amp;"0"&amp;ROW()-13</f>
        <v>AR-043</v>
      </c>
      <c r="C56" s="147" t="s">
        <v>20</v>
      </c>
      <c r="D56" s="49" t="s">
        <v>164</v>
      </c>
      <c r="E56" s="67">
        <v>46188</v>
      </c>
      <c r="F56" s="67">
        <v>46213</v>
      </c>
      <c r="G56" s="67"/>
      <c r="H56" s="67"/>
      <c r="I56" s="44">
        <f t="shared" ref="I56:I94" si="6">F56-E56+1</f>
        <v>26</v>
      </c>
      <c r="J56" s="44" t="s">
        <v>15</v>
      </c>
      <c r="K56" s="45"/>
    </row>
    <row r="57" spans="1:11" s="123" customFormat="1" ht="14.25" hidden="1" customHeight="1" x14ac:dyDescent="0.35">
      <c r="A57" s="40"/>
      <c r="B57" s="40" t="str">
        <f t="shared" si="5"/>
        <v>AR-044</v>
      </c>
      <c r="C57" s="147" t="s">
        <v>27</v>
      </c>
      <c r="D57" s="49" t="s">
        <v>28</v>
      </c>
      <c r="E57" s="67">
        <v>46182</v>
      </c>
      <c r="F57" s="67">
        <v>46228</v>
      </c>
      <c r="G57" s="67"/>
      <c r="H57" s="67"/>
      <c r="I57" s="44">
        <f t="shared" si="6"/>
        <v>47</v>
      </c>
      <c r="J57" s="44" t="s">
        <v>15</v>
      </c>
      <c r="K57" s="45"/>
    </row>
    <row r="58" spans="1:11" ht="14.25" hidden="1" customHeight="1" x14ac:dyDescent="0.35">
      <c r="A58" s="40"/>
      <c r="B58" s="40" t="str">
        <f t="shared" si="5"/>
        <v>AR-045</v>
      </c>
      <c r="C58" s="148" t="s">
        <v>37</v>
      </c>
      <c r="D58" s="49" t="s">
        <v>28</v>
      </c>
      <c r="E58" s="67">
        <v>46208</v>
      </c>
      <c r="F58" s="67">
        <v>46223</v>
      </c>
      <c r="G58" s="67"/>
      <c r="H58" s="67"/>
      <c r="I58" s="44">
        <f t="shared" si="6"/>
        <v>16</v>
      </c>
      <c r="J58" s="44" t="s">
        <v>15</v>
      </c>
      <c r="K58" s="45"/>
    </row>
    <row r="59" spans="1:11" ht="14.25" hidden="1" customHeight="1" x14ac:dyDescent="0.35">
      <c r="A59" s="40"/>
      <c r="B59" s="40" t="str">
        <f t="shared" si="5"/>
        <v>AR-046</v>
      </c>
      <c r="C59" s="148" t="s">
        <v>165</v>
      </c>
      <c r="D59" s="49" t="s">
        <v>156</v>
      </c>
      <c r="E59" s="67">
        <v>46208</v>
      </c>
      <c r="F59" s="67">
        <v>46223</v>
      </c>
      <c r="G59" s="67"/>
      <c r="H59" s="67"/>
      <c r="I59" s="44">
        <f t="shared" si="6"/>
        <v>16</v>
      </c>
      <c r="J59" s="44" t="s">
        <v>15</v>
      </c>
      <c r="K59" s="92"/>
    </row>
    <row r="60" spans="1:11" ht="14.25" hidden="1" customHeight="1" x14ac:dyDescent="0.35">
      <c r="A60" s="40"/>
      <c r="B60" s="40" t="str">
        <f t="shared" si="5"/>
        <v>AR-047</v>
      </c>
      <c r="C60" s="148" t="s">
        <v>40</v>
      </c>
      <c r="D60" s="49" t="s">
        <v>28</v>
      </c>
      <c r="E60" s="67">
        <v>46208</v>
      </c>
      <c r="F60" s="67">
        <v>46223</v>
      </c>
      <c r="G60" s="67"/>
      <c r="H60" s="67"/>
      <c r="I60" s="44">
        <f t="shared" si="6"/>
        <v>16</v>
      </c>
      <c r="J60" s="44" t="s">
        <v>15</v>
      </c>
      <c r="K60" s="92"/>
    </row>
    <row r="61" spans="1:11" s="123" customFormat="1" ht="14.25" hidden="1" customHeight="1" x14ac:dyDescent="0.35">
      <c r="A61" s="40"/>
      <c r="B61" s="40" t="str">
        <f t="shared" si="5"/>
        <v>AR-048</v>
      </c>
      <c r="C61" s="148" t="s">
        <v>45</v>
      </c>
      <c r="D61" s="49" t="s">
        <v>166</v>
      </c>
      <c r="E61" s="67">
        <v>46199</v>
      </c>
      <c r="F61" s="67">
        <v>46228</v>
      </c>
      <c r="G61" s="67"/>
      <c r="H61" s="67"/>
      <c r="I61" s="44">
        <f t="shared" si="6"/>
        <v>30</v>
      </c>
      <c r="J61" s="44" t="s">
        <v>15</v>
      </c>
      <c r="K61" s="92"/>
    </row>
    <row r="62" spans="1:11" s="123" customFormat="1" ht="14.25" hidden="1" customHeight="1" x14ac:dyDescent="0.35">
      <c r="A62" s="40"/>
      <c r="B62" s="40" t="str">
        <f t="shared" si="5"/>
        <v>AR-049</v>
      </c>
      <c r="C62" s="148" t="s">
        <v>47</v>
      </c>
      <c r="D62" s="49" t="s">
        <v>166</v>
      </c>
      <c r="E62" s="67">
        <v>46203</v>
      </c>
      <c r="F62" s="67">
        <v>46228</v>
      </c>
      <c r="G62" s="67"/>
      <c r="H62" s="67"/>
      <c r="I62" s="44">
        <f t="shared" si="6"/>
        <v>26</v>
      </c>
      <c r="J62" s="44" t="s">
        <v>15</v>
      </c>
      <c r="K62" s="92"/>
    </row>
    <row r="63" spans="1:11" s="123" customFormat="1" ht="14.25" hidden="1" customHeight="1" x14ac:dyDescent="0.35">
      <c r="A63" s="40"/>
      <c r="B63" s="40" t="str">
        <f t="shared" si="5"/>
        <v>AR-050</v>
      </c>
      <c r="C63" s="148" t="s">
        <v>49</v>
      </c>
      <c r="D63" s="49" t="s">
        <v>166</v>
      </c>
      <c r="E63" s="67">
        <v>46206</v>
      </c>
      <c r="F63" s="67">
        <v>46228</v>
      </c>
      <c r="G63" s="67"/>
      <c r="H63" s="67"/>
      <c r="I63" s="44">
        <f t="shared" si="6"/>
        <v>23</v>
      </c>
      <c r="J63" s="44" t="s">
        <v>15</v>
      </c>
      <c r="K63" s="92"/>
    </row>
    <row r="64" spans="1:11" s="123" customFormat="1" ht="14.25" hidden="1" customHeight="1" x14ac:dyDescent="0.35">
      <c r="A64" s="40"/>
      <c r="B64" s="40" t="str">
        <f t="shared" si="5"/>
        <v>AR-051</v>
      </c>
      <c r="C64" s="148" t="s">
        <v>55</v>
      </c>
      <c r="D64" s="49" t="s">
        <v>56</v>
      </c>
      <c r="E64" s="67">
        <v>46182</v>
      </c>
      <c r="F64" s="67">
        <v>46228</v>
      </c>
      <c r="G64" s="67"/>
      <c r="H64" s="67"/>
      <c r="I64" s="44">
        <f t="shared" si="6"/>
        <v>47</v>
      </c>
      <c r="J64" s="44" t="s">
        <v>15</v>
      </c>
      <c r="K64" s="92"/>
    </row>
    <row r="65" spans="1:11" s="123" customFormat="1" ht="14.25" hidden="1" customHeight="1" x14ac:dyDescent="0.35">
      <c r="A65" s="40"/>
      <c r="B65" s="40" t="str">
        <f t="shared" si="5"/>
        <v>AR-052</v>
      </c>
      <c r="C65" s="148" t="s">
        <v>167</v>
      </c>
      <c r="D65" s="49" t="s">
        <v>56</v>
      </c>
      <c r="E65" s="67">
        <v>46204</v>
      </c>
      <c r="F65" s="67">
        <v>46228</v>
      </c>
      <c r="G65" s="67"/>
      <c r="H65" s="67"/>
      <c r="I65" s="44">
        <f t="shared" si="6"/>
        <v>25</v>
      </c>
      <c r="J65" s="44" t="s">
        <v>15</v>
      </c>
      <c r="K65" s="43"/>
    </row>
    <row r="66" spans="1:11" s="123" customFormat="1" ht="14.25" hidden="1" customHeight="1" x14ac:dyDescent="0.35">
      <c r="A66" s="40"/>
      <c r="B66" s="40" t="str">
        <f t="shared" si="5"/>
        <v>AR-053</v>
      </c>
      <c r="C66" s="148" t="s">
        <v>168</v>
      </c>
      <c r="D66" s="49" t="s">
        <v>21</v>
      </c>
      <c r="E66" s="67">
        <v>46204</v>
      </c>
      <c r="F66" s="67">
        <v>46228</v>
      </c>
      <c r="G66" s="67"/>
      <c r="H66" s="67"/>
      <c r="I66" s="44">
        <f t="shared" si="6"/>
        <v>25</v>
      </c>
      <c r="J66" s="44" t="s">
        <v>15</v>
      </c>
      <c r="K66" s="43"/>
    </row>
    <row r="67" spans="1:11" ht="14.9" hidden="1" customHeight="1" x14ac:dyDescent="0.35">
      <c r="A67" s="40"/>
      <c r="B67" s="40" t="str">
        <f t="shared" si="5"/>
        <v>AR-054</v>
      </c>
      <c r="C67" s="148" t="s">
        <v>169</v>
      </c>
      <c r="D67" s="49" t="s">
        <v>14</v>
      </c>
      <c r="E67" s="67">
        <v>46218</v>
      </c>
      <c r="F67" s="67">
        <v>46242</v>
      </c>
      <c r="G67" s="67"/>
      <c r="H67" s="67"/>
      <c r="I67" s="44">
        <f t="shared" si="6"/>
        <v>25</v>
      </c>
      <c r="J67" s="44" t="s">
        <v>15</v>
      </c>
      <c r="K67" s="91"/>
    </row>
    <row r="68" spans="1:11" ht="14.25" hidden="1" customHeight="1" x14ac:dyDescent="0.35">
      <c r="A68" s="40"/>
      <c r="B68" s="40" t="str">
        <f t="shared" si="5"/>
        <v>AR-055</v>
      </c>
      <c r="C68" s="148" t="s">
        <v>170</v>
      </c>
      <c r="D68" s="49" t="s">
        <v>21</v>
      </c>
      <c r="E68" s="67">
        <v>46209</v>
      </c>
      <c r="F68" s="67">
        <v>46228</v>
      </c>
      <c r="G68" s="67"/>
      <c r="H68" s="67"/>
      <c r="I68" s="44">
        <f t="shared" si="6"/>
        <v>20</v>
      </c>
      <c r="J68" s="44" t="s">
        <v>15</v>
      </c>
      <c r="K68" s="43"/>
    </row>
    <row r="69" spans="1:11" ht="14.25" hidden="1" customHeight="1" x14ac:dyDescent="0.35">
      <c r="A69" s="79"/>
      <c r="B69" s="140"/>
      <c r="C69" s="141" t="s">
        <v>171</v>
      </c>
      <c r="D69" s="142"/>
      <c r="E69" s="143"/>
      <c r="F69" s="143"/>
      <c r="G69" s="149"/>
      <c r="H69" s="149"/>
      <c r="I69" s="78"/>
      <c r="J69" s="90"/>
      <c r="K69" s="48"/>
    </row>
    <row r="70" spans="1:11" ht="14.25" hidden="1" customHeight="1" x14ac:dyDescent="0.35">
      <c r="A70" s="40"/>
      <c r="B70" s="144" t="str">
        <f>"AR-"&amp;"0"&amp;ROW()-14</f>
        <v>AR-056</v>
      </c>
      <c r="C70" s="50" t="s">
        <v>172</v>
      </c>
      <c r="D70" s="49"/>
      <c r="E70" s="145">
        <v>46217</v>
      </c>
      <c r="F70" s="145">
        <v>46217</v>
      </c>
      <c r="G70" s="150"/>
      <c r="H70" s="150"/>
      <c r="I70" s="44"/>
      <c r="J70" s="135" t="s">
        <v>15</v>
      </c>
      <c r="K70" s="43"/>
    </row>
    <row r="71" spans="1:11" ht="14.25" hidden="1" customHeight="1" x14ac:dyDescent="0.35">
      <c r="A71" s="40"/>
      <c r="B71" s="144" t="str">
        <f t="shared" ref="B71:B77" si="7">"AR-"&amp;"0"&amp;ROW()-14</f>
        <v>AR-057</v>
      </c>
      <c r="C71" s="50" t="s">
        <v>173</v>
      </c>
      <c r="D71" s="49"/>
      <c r="E71" s="145">
        <v>46217</v>
      </c>
      <c r="F71" s="145">
        <v>46219</v>
      </c>
      <c r="G71" s="150"/>
      <c r="H71" s="150"/>
      <c r="I71" s="44"/>
      <c r="J71" s="135" t="s">
        <v>15</v>
      </c>
      <c r="K71" s="43"/>
    </row>
    <row r="72" spans="1:11" ht="14.25" hidden="1" customHeight="1" x14ac:dyDescent="0.35">
      <c r="A72" s="40"/>
      <c r="B72" s="144" t="str">
        <f t="shared" si="7"/>
        <v>AR-058</v>
      </c>
      <c r="C72" s="50" t="s">
        <v>174</v>
      </c>
      <c r="D72" s="49"/>
      <c r="E72" s="145">
        <v>46217</v>
      </c>
      <c r="F72" s="145">
        <v>46223</v>
      </c>
      <c r="G72" s="150"/>
      <c r="H72" s="150"/>
      <c r="I72" s="44"/>
      <c r="J72" s="135" t="s">
        <v>15</v>
      </c>
      <c r="K72" s="43"/>
    </row>
    <row r="73" spans="1:11" ht="14.25" hidden="1" customHeight="1" x14ac:dyDescent="0.35">
      <c r="A73" s="40"/>
      <c r="B73" s="144" t="str">
        <f t="shared" si="7"/>
        <v>AR-059</v>
      </c>
      <c r="C73" s="50" t="s">
        <v>175</v>
      </c>
      <c r="D73" s="49"/>
      <c r="E73" s="145">
        <v>46217</v>
      </c>
      <c r="F73" s="145">
        <v>46223</v>
      </c>
      <c r="G73" s="150"/>
      <c r="H73" s="150"/>
      <c r="I73" s="44"/>
      <c r="J73" s="135" t="s">
        <v>15</v>
      </c>
      <c r="K73" s="43"/>
    </row>
    <row r="74" spans="1:11" ht="14.25" hidden="1" customHeight="1" x14ac:dyDescent="0.35">
      <c r="A74" s="40"/>
      <c r="B74" s="144" t="str">
        <f t="shared" si="7"/>
        <v>AR-060</v>
      </c>
      <c r="C74" s="50" t="s">
        <v>176</v>
      </c>
      <c r="D74" s="49"/>
      <c r="E74" s="145">
        <v>46223</v>
      </c>
      <c r="F74" s="145">
        <v>46227</v>
      </c>
      <c r="G74" s="150"/>
      <c r="H74" s="150"/>
      <c r="I74" s="44"/>
      <c r="J74" s="135" t="s">
        <v>15</v>
      </c>
      <c r="K74" s="43"/>
    </row>
    <row r="75" spans="1:11" ht="14.25" hidden="1" customHeight="1" x14ac:dyDescent="0.35">
      <c r="A75" s="40"/>
      <c r="B75" s="144" t="str">
        <f t="shared" si="7"/>
        <v>AR-061</v>
      </c>
      <c r="C75" s="50" t="s">
        <v>177</v>
      </c>
      <c r="D75" s="49"/>
      <c r="E75" s="145">
        <v>46227</v>
      </c>
      <c r="F75" s="145">
        <v>46228</v>
      </c>
      <c r="G75" s="150"/>
      <c r="H75" s="150"/>
      <c r="I75" s="44"/>
      <c r="J75" s="135" t="s">
        <v>15</v>
      </c>
      <c r="K75" s="43"/>
    </row>
    <row r="76" spans="1:11" ht="14.25" hidden="1" customHeight="1" x14ac:dyDescent="0.35">
      <c r="A76" s="40"/>
      <c r="B76" s="144" t="str">
        <f t="shared" si="7"/>
        <v>AR-062</v>
      </c>
      <c r="C76" s="50" t="s">
        <v>178</v>
      </c>
      <c r="D76" s="49"/>
      <c r="E76" s="145">
        <v>46228</v>
      </c>
      <c r="F76" s="145">
        <v>46228</v>
      </c>
      <c r="G76" s="150"/>
      <c r="H76" s="150"/>
      <c r="I76" s="44"/>
      <c r="J76" s="135" t="s">
        <v>15</v>
      </c>
      <c r="K76" s="43"/>
    </row>
    <row r="77" spans="1:11" ht="14.25" hidden="1" customHeight="1" x14ac:dyDescent="0.35">
      <c r="A77" s="40"/>
      <c r="B77" s="144" t="str">
        <f t="shared" si="7"/>
        <v>AR-063</v>
      </c>
      <c r="C77" s="50" t="s">
        <v>179</v>
      </c>
      <c r="D77" s="49"/>
      <c r="E77" s="145">
        <v>46228</v>
      </c>
      <c r="F77" s="145">
        <v>46230</v>
      </c>
      <c r="G77" s="150"/>
      <c r="H77" s="150"/>
      <c r="I77" s="44"/>
      <c r="J77" s="135" t="s">
        <v>15</v>
      </c>
      <c r="K77" s="43"/>
    </row>
    <row r="78" spans="1:11" ht="14.25" hidden="1" customHeight="1" x14ac:dyDescent="0.35">
      <c r="A78" s="79"/>
      <c r="B78" s="80"/>
      <c r="C78" s="75" t="s">
        <v>180</v>
      </c>
      <c r="D78" s="76"/>
      <c r="E78" s="77" t="str">
        <f ca="1">MIN(E56:E92)</f>
        <v/>
      </c>
      <c r="F78" s="77" t="str">
        <f ca="1">MAX(F56:F92)</f>
        <v/>
      </c>
      <c r="G78" s="77"/>
      <c r="H78" s="77"/>
      <c r="I78" s="78" t="str">
        <f t="shared" ca="1" si="6"/>
        <v/>
      </c>
      <c r="J78" s="90"/>
      <c r="K78" s="48"/>
    </row>
    <row r="79" spans="1:11" ht="14.25" hidden="1" customHeight="1" x14ac:dyDescent="0.35">
      <c r="A79" s="53"/>
      <c r="B79" s="56"/>
      <c r="C79" s="51" t="s">
        <v>181</v>
      </c>
      <c r="D79" s="51"/>
      <c r="E79" s="67">
        <f>MIN(E80:E81)</f>
        <v>46235</v>
      </c>
      <c r="F79" s="67">
        <f>MAX(F80:F81)</f>
        <v>46248</v>
      </c>
      <c r="G79" s="67"/>
      <c r="H79" s="67"/>
      <c r="I79" s="55">
        <f t="shared" si="6"/>
        <v>14</v>
      </c>
      <c r="J79" s="44" t="s">
        <v>15</v>
      </c>
      <c r="K79" s="51"/>
    </row>
    <row r="80" spans="1:11" ht="14.25" hidden="1" customHeight="1" x14ac:dyDescent="0.35">
      <c r="A80" s="40" t="s">
        <v>182</v>
      </c>
      <c r="B80" s="40" t="str">
        <f>"AR-"&amp;"0"&amp;ROW()-16</f>
        <v>AR-064</v>
      </c>
      <c r="C80" s="40" t="s">
        <v>183</v>
      </c>
      <c r="D80" s="49" t="s">
        <v>149</v>
      </c>
      <c r="E80" s="67">
        <v>46235</v>
      </c>
      <c r="F80" s="67">
        <v>46248</v>
      </c>
      <c r="G80" s="67"/>
      <c r="H80" s="67"/>
      <c r="I80" s="44">
        <f t="shared" si="6"/>
        <v>14</v>
      </c>
      <c r="J80" s="44" t="s">
        <v>15</v>
      </c>
      <c r="K80" s="45"/>
    </row>
    <row r="81" spans="1:11" ht="14.25" hidden="1" customHeight="1" x14ac:dyDescent="0.35">
      <c r="A81" s="40"/>
      <c r="B81" s="40" t="str">
        <f t="shared" ref="B81" si="8">"AR-"&amp;"0"&amp;ROW()-16</f>
        <v>AR-065</v>
      </c>
      <c r="C81" s="40" t="s">
        <v>184</v>
      </c>
      <c r="D81" s="49" t="s">
        <v>14</v>
      </c>
      <c r="E81" s="67">
        <v>46241</v>
      </c>
      <c r="F81" s="67">
        <v>46245</v>
      </c>
      <c r="G81" s="67"/>
      <c r="H81" s="67"/>
      <c r="I81" s="44">
        <f t="shared" si="6"/>
        <v>5</v>
      </c>
      <c r="J81" s="44" t="s">
        <v>15</v>
      </c>
      <c r="K81" s="45"/>
    </row>
    <row r="82" spans="1:11" ht="14.25" hidden="1" customHeight="1" x14ac:dyDescent="0.35">
      <c r="A82" s="53"/>
      <c r="B82" s="40"/>
      <c r="C82" s="51" t="s">
        <v>185</v>
      </c>
      <c r="D82" s="51"/>
      <c r="E82" s="67">
        <f>MIN(E83:E84)</f>
        <v>46246</v>
      </c>
      <c r="F82" s="67">
        <f>MAX(F83:F84)</f>
        <v>46263</v>
      </c>
      <c r="G82" s="67"/>
      <c r="H82" s="67"/>
      <c r="I82" s="55">
        <f t="shared" si="6"/>
        <v>18</v>
      </c>
      <c r="J82" s="44" t="s">
        <v>15</v>
      </c>
      <c r="K82" s="51"/>
    </row>
    <row r="83" spans="1:11" ht="14.25" hidden="1" customHeight="1" x14ac:dyDescent="0.35">
      <c r="A83" s="40" t="s">
        <v>186</v>
      </c>
      <c r="B83" s="40" t="str">
        <f>"AR-"&amp;"0"&amp;ROW()-17</f>
        <v>AR-066</v>
      </c>
      <c r="C83" s="40" t="s">
        <v>187</v>
      </c>
      <c r="D83" s="49" t="s">
        <v>149</v>
      </c>
      <c r="E83" s="67">
        <v>46246</v>
      </c>
      <c r="F83" s="67">
        <v>46263</v>
      </c>
      <c r="G83" s="67"/>
      <c r="H83" s="67"/>
      <c r="I83" s="44">
        <f t="shared" si="6"/>
        <v>18</v>
      </c>
      <c r="J83" s="44" t="s">
        <v>15</v>
      </c>
      <c r="K83" s="45"/>
    </row>
    <row r="84" spans="1:11" ht="14.25" hidden="1" customHeight="1" x14ac:dyDescent="0.35">
      <c r="A84" s="40"/>
      <c r="B84" s="40" t="str">
        <f>"AR-"&amp;"0"&amp;ROW()-17</f>
        <v>AR-067</v>
      </c>
      <c r="C84" s="40" t="s">
        <v>188</v>
      </c>
      <c r="D84" s="49" t="s">
        <v>14</v>
      </c>
      <c r="E84" s="67">
        <v>46254</v>
      </c>
      <c r="F84" s="67">
        <v>46258</v>
      </c>
      <c r="G84" s="67"/>
      <c r="H84" s="67"/>
      <c r="I84" s="44">
        <f t="shared" si="6"/>
        <v>5</v>
      </c>
      <c r="J84" s="44" t="s">
        <v>15</v>
      </c>
      <c r="K84" s="45"/>
    </row>
    <row r="85" spans="1:11" ht="14.25" hidden="1" customHeight="1" x14ac:dyDescent="0.35">
      <c r="A85" s="53"/>
      <c r="B85" s="40"/>
      <c r="C85" s="51" t="s">
        <v>189</v>
      </c>
      <c r="D85" s="51"/>
      <c r="E85" s="67">
        <f>MIN(E86:E87)</f>
        <v>46259</v>
      </c>
      <c r="F85" s="67">
        <f>MAX(F86:F87)</f>
        <v>46275</v>
      </c>
      <c r="G85" s="67"/>
      <c r="H85" s="67"/>
      <c r="I85" s="55">
        <f t="shared" si="6"/>
        <v>17</v>
      </c>
      <c r="J85" s="44" t="s">
        <v>15</v>
      </c>
      <c r="K85" s="51"/>
    </row>
    <row r="86" spans="1:11" ht="14.25" hidden="1" customHeight="1" x14ac:dyDescent="0.35">
      <c r="A86" s="40" t="s">
        <v>190</v>
      </c>
      <c r="B86" s="40" t="str">
        <f>"AR-"&amp;"0"&amp;ROW()-18</f>
        <v>AR-068</v>
      </c>
      <c r="C86" s="40" t="s">
        <v>191</v>
      </c>
      <c r="D86" s="49" t="s">
        <v>149</v>
      </c>
      <c r="E86" s="67">
        <v>46259</v>
      </c>
      <c r="F86" s="67">
        <v>46275</v>
      </c>
      <c r="G86" s="67"/>
      <c r="H86" s="67"/>
      <c r="I86" s="44">
        <f t="shared" si="6"/>
        <v>17</v>
      </c>
      <c r="J86" s="44" t="s">
        <v>15</v>
      </c>
      <c r="K86" s="45"/>
    </row>
    <row r="87" spans="1:11" ht="14.25" hidden="1" customHeight="1" x14ac:dyDescent="0.35">
      <c r="A87" s="40"/>
      <c r="B87" s="40" t="str">
        <f>"AR-"&amp;"0"&amp;ROW()-18</f>
        <v>AR-069</v>
      </c>
      <c r="C87" s="40" t="s">
        <v>192</v>
      </c>
      <c r="D87" s="49" t="s">
        <v>14</v>
      </c>
      <c r="E87" s="67">
        <v>46266</v>
      </c>
      <c r="F87" s="67">
        <v>46272</v>
      </c>
      <c r="G87" s="67"/>
      <c r="H87" s="67"/>
      <c r="I87" s="44">
        <f t="shared" si="6"/>
        <v>7</v>
      </c>
      <c r="J87" s="44" t="s">
        <v>15</v>
      </c>
      <c r="K87" s="45"/>
    </row>
    <row r="88" spans="1:11" ht="14.25" hidden="1" customHeight="1" x14ac:dyDescent="0.35">
      <c r="A88" s="53"/>
      <c r="B88" s="40"/>
      <c r="C88" s="51" t="s">
        <v>193</v>
      </c>
      <c r="D88" s="51"/>
      <c r="E88" s="67">
        <f>MIN(E89:E92)</f>
        <v>46273</v>
      </c>
      <c r="F88" s="67">
        <f>MAX(F89:F90)</f>
        <v>46285</v>
      </c>
      <c r="G88" s="67"/>
      <c r="H88" s="67"/>
      <c r="I88" s="55">
        <f t="shared" si="6"/>
        <v>13</v>
      </c>
      <c r="J88" s="44" t="s">
        <v>15</v>
      </c>
      <c r="K88" s="51"/>
    </row>
    <row r="89" spans="1:11" ht="14.25" hidden="1" customHeight="1" x14ac:dyDescent="0.35">
      <c r="A89" s="40" t="s">
        <v>194</v>
      </c>
      <c r="B89" s="40" t="str">
        <f>"AR-"&amp;"0"&amp;ROW()-19</f>
        <v>AR-070</v>
      </c>
      <c r="C89" s="40" t="s">
        <v>195</v>
      </c>
      <c r="D89" s="49" t="s">
        <v>149</v>
      </c>
      <c r="E89" s="67">
        <v>46273</v>
      </c>
      <c r="F89" s="67">
        <v>46282</v>
      </c>
      <c r="G89" s="67"/>
      <c r="H89" s="67"/>
      <c r="I89" s="44">
        <f t="shared" si="6"/>
        <v>10</v>
      </c>
      <c r="J89" s="44" t="s">
        <v>15</v>
      </c>
      <c r="K89" s="45"/>
    </row>
    <row r="90" spans="1:11" ht="14.25" hidden="1" customHeight="1" x14ac:dyDescent="0.35">
      <c r="A90" s="40"/>
      <c r="B90" s="40" t="str">
        <f t="shared" ref="B90:B92" si="9">"AR-"&amp;"0"&amp;ROW()-19</f>
        <v>AR-071</v>
      </c>
      <c r="C90" s="40" t="s">
        <v>196</v>
      </c>
      <c r="D90" s="49" t="s">
        <v>14</v>
      </c>
      <c r="E90" s="67">
        <v>46275</v>
      </c>
      <c r="F90" s="67">
        <v>46285</v>
      </c>
      <c r="G90" s="67"/>
      <c r="H90" s="67"/>
      <c r="I90" s="44">
        <f t="shared" si="6"/>
        <v>11</v>
      </c>
      <c r="J90" s="44" t="s">
        <v>15</v>
      </c>
      <c r="K90" s="45"/>
    </row>
    <row r="91" spans="1:11" s="123" customFormat="1" ht="14.25" hidden="1" customHeight="1" x14ac:dyDescent="0.35">
      <c r="A91" s="40"/>
      <c r="B91" s="40" t="str">
        <f t="shared" si="9"/>
        <v>AR-072</v>
      </c>
      <c r="C91" s="83" t="s">
        <v>57</v>
      </c>
      <c r="D91" s="49" t="s">
        <v>164</v>
      </c>
      <c r="E91" s="67">
        <v>46285</v>
      </c>
      <c r="F91" s="67">
        <v>46289</v>
      </c>
      <c r="G91" s="67"/>
      <c r="H91" s="67"/>
      <c r="I91" s="44">
        <f t="shared" si="6"/>
        <v>5</v>
      </c>
      <c r="J91" s="44" t="s">
        <v>22</v>
      </c>
      <c r="K91" s="45"/>
    </row>
    <row r="92" spans="1:11" ht="14.25" hidden="1" customHeight="1" x14ac:dyDescent="0.35">
      <c r="A92" s="40"/>
      <c r="B92" s="40" t="str">
        <f t="shared" si="9"/>
        <v>AR-073</v>
      </c>
      <c r="C92" s="40" t="s">
        <v>198</v>
      </c>
      <c r="D92" s="49" t="s">
        <v>199</v>
      </c>
      <c r="E92" s="67">
        <v>46290</v>
      </c>
      <c r="F92" s="67">
        <v>46296</v>
      </c>
      <c r="G92" s="67"/>
      <c r="H92" s="67"/>
      <c r="I92" s="44">
        <f t="shared" si="6"/>
        <v>7</v>
      </c>
      <c r="J92" s="44" t="s">
        <v>31</v>
      </c>
      <c r="K92" s="45"/>
    </row>
    <row r="93" spans="1:11" s="71" customFormat="1" ht="14.25" customHeight="1" x14ac:dyDescent="0.35">
      <c r="A93" s="73"/>
      <c r="B93" s="73"/>
      <c r="C93" s="75" t="s">
        <v>200</v>
      </c>
      <c r="D93" s="76"/>
      <c r="E93" s="77">
        <f>MIN(E95:E128)</f>
        <v>46115</v>
      </c>
      <c r="F93" s="77">
        <f>MAX(F95:F128)</f>
        <v>46418</v>
      </c>
      <c r="G93" s="77"/>
      <c r="H93" s="77"/>
      <c r="I93" s="78">
        <f t="shared" si="6"/>
        <v>304</v>
      </c>
      <c r="J93" s="90"/>
      <c r="K93" s="48"/>
    </row>
    <row r="94" spans="1:11" ht="14.25" hidden="1" customHeight="1" x14ac:dyDescent="0.35">
      <c r="A94" s="53"/>
      <c r="B94" s="40"/>
      <c r="C94" s="51" t="s">
        <v>141</v>
      </c>
      <c r="D94" s="54"/>
      <c r="E94" s="67">
        <f>MIN(E95:E95)</f>
        <v>46115</v>
      </c>
      <c r="F94" s="67">
        <f>MAX(F95:F95)</f>
        <v>46223</v>
      </c>
      <c r="G94" s="67"/>
      <c r="H94" s="67"/>
      <c r="I94" s="55">
        <f t="shared" si="6"/>
        <v>109</v>
      </c>
      <c r="J94" s="44"/>
      <c r="K94" s="51"/>
    </row>
    <row r="95" spans="1:11" ht="14.25" hidden="1" customHeight="1" x14ac:dyDescent="0.35">
      <c r="A95" s="40" t="s">
        <v>201</v>
      </c>
      <c r="B95" s="40" t="str">
        <f>"AR-"&amp;"0"&amp;ROW()-21</f>
        <v>AR-074</v>
      </c>
      <c r="C95" s="137" t="s">
        <v>202</v>
      </c>
      <c r="D95" s="49" t="s">
        <v>21</v>
      </c>
      <c r="E95" s="67">
        <v>46115</v>
      </c>
      <c r="F95" s="67">
        <v>46223</v>
      </c>
      <c r="G95" s="67"/>
      <c r="H95" s="67"/>
      <c r="I95" s="44">
        <f t="shared" ref="I95:I126" si="10">F95-E95+1</f>
        <v>109</v>
      </c>
      <c r="J95" s="44" t="s">
        <v>15</v>
      </c>
      <c r="K95" s="43"/>
    </row>
    <row r="96" spans="1:11" s="71" customFormat="1" ht="14.25" customHeight="1" x14ac:dyDescent="0.35">
      <c r="A96" s="53"/>
      <c r="B96" s="40"/>
      <c r="C96" s="51" t="s">
        <v>203</v>
      </c>
      <c r="D96" s="51"/>
      <c r="E96" s="68">
        <f>MIN(E97:E102)</f>
        <v>46294</v>
      </c>
      <c r="F96" s="94">
        <f>MAX(F97:F102)</f>
        <v>46328</v>
      </c>
      <c r="G96" s="94"/>
      <c r="H96" s="94"/>
      <c r="I96" s="55">
        <f t="shared" si="10"/>
        <v>35</v>
      </c>
      <c r="J96" s="55" t="s">
        <v>31</v>
      </c>
      <c r="K96" s="51"/>
    </row>
    <row r="97" spans="1:11" ht="14.25" customHeight="1" x14ac:dyDescent="0.35">
      <c r="A97" s="40" t="s">
        <v>204</v>
      </c>
      <c r="B97" s="40" t="str">
        <f>"AR-"&amp;"0"&amp;ROW()-22</f>
        <v>AR-075</v>
      </c>
      <c r="C97" s="40" t="s">
        <v>205</v>
      </c>
      <c r="D97" s="49" t="s">
        <v>149</v>
      </c>
      <c r="E97" s="67">
        <v>46294</v>
      </c>
      <c r="F97" s="67">
        <v>46307</v>
      </c>
      <c r="G97" s="67"/>
      <c r="H97" s="67"/>
      <c r="I97" s="44">
        <f t="shared" si="10"/>
        <v>14</v>
      </c>
      <c r="J97" s="44" t="s">
        <v>15</v>
      </c>
      <c r="K97" s="45"/>
    </row>
    <row r="98" spans="1:11" ht="14.25" customHeight="1" x14ac:dyDescent="0.35">
      <c r="A98" s="40"/>
      <c r="B98" s="40" t="str">
        <f t="shared" ref="B98:B102" si="11">"AR-"&amp;"0"&amp;ROW()-22</f>
        <v>AR-076</v>
      </c>
      <c r="C98" s="40" t="s">
        <v>206</v>
      </c>
      <c r="D98" s="49" t="s">
        <v>14</v>
      </c>
      <c r="E98" s="67">
        <v>46299</v>
      </c>
      <c r="F98" s="67">
        <v>46303</v>
      </c>
      <c r="G98" s="67"/>
      <c r="H98" s="67"/>
      <c r="I98" s="44">
        <f t="shared" si="10"/>
        <v>5</v>
      </c>
      <c r="J98" s="44" t="s">
        <v>15</v>
      </c>
      <c r="K98" s="41"/>
    </row>
    <row r="99" spans="1:11" ht="14.25" customHeight="1" x14ac:dyDescent="0.35">
      <c r="A99" s="40" t="s">
        <v>207</v>
      </c>
      <c r="B99" s="40" t="str">
        <f t="shared" si="11"/>
        <v>AR-077</v>
      </c>
      <c r="C99" s="40" t="s">
        <v>208</v>
      </c>
      <c r="D99" s="49" t="s">
        <v>149</v>
      </c>
      <c r="E99" s="67">
        <v>46304</v>
      </c>
      <c r="F99" s="67">
        <v>46309</v>
      </c>
      <c r="G99" s="67"/>
      <c r="H99" s="67"/>
      <c r="I99" s="44">
        <f t="shared" si="10"/>
        <v>6</v>
      </c>
      <c r="J99" s="44" t="inlineStr">
        <is>
          <t>Completed</t>
        </is>
      </c>
      <c r="K99" s="41"/>
    </row>
    <row r="100" spans="1:11" ht="14.25" customHeight="1" x14ac:dyDescent="0.35">
      <c r="A100" s="40"/>
      <c r="B100" s="40" t="str">
        <f t="shared" si="11"/>
        <v>AR-078</v>
      </c>
      <c r="C100" s="40" t="s">
        <v>209</v>
      </c>
      <c r="D100" s="49" t="s">
        <v>14</v>
      </c>
      <c r="E100" s="67">
        <v>46309</v>
      </c>
      <c r="F100" s="67">
        <v>46313</v>
      </c>
      <c r="G100" s="67"/>
      <c r="H100" s="67"/>
      <c r="I100" s="44">
        <f t="shared" si="10"/>
        <v>5</v>
      </c>
      <c r="J100" s="44" t="s">
        <v>22</v>
      </c>
      <c r="K100" s="41"/>
    </row>
    <row r="101" spans="1:11" ht="14.25" customHeight="1" x14ac:dyDescent="0.35">
      <c r="A101" s="40" t="s">
        <v>210</v>
      </c>
      <c r="B101" s="40" t="str">
        <f t="shared" si="11"/>
        <v>AR-079</v>
      </c>
      <c r="C101" s="40" t="s">
        <v>211</v>
      </c>
      <c r="D101" s="49" t="s">
        <v>149</v>
      </c>
      <c r="E101" s="67">
        <v>46315</v>
      </c>
      <c r="F101" s="67">
        <v>46328</v>
      </c>
      <c r="G101" s="67"/>
      <c r="H101" s="67"/>
      <c r="I101" s="44">
        <f t="shared" si="10"/>
        <v>14</v>
      </c>
      <c r="J101" s="44" t="s">
        <v>31</v>
      </c>
      <c r="K101" s="41"/>
    </row>
    <row r="102" spans="1:11" ht="14.25" customHeight="1" x14ac:dyDescent="0.35">
      <c r="A102" s="40"/>
      <c r="B102" s="40" t="str">
        <f t="shared" si="11"/>
        <v>AR-080</v>
      </c>
      <c r="C102" s="40" t="s">
        <v>212</v>
      </c>
      <c r="D102" s="49" t="s">
        <v>14</v>
      </c>
      <c r="E102" s="67">
        <v>46320</v>
      </c>
      <c r="F102" s="67">
        <v>46325</v>
      </c>
      <c r="G102" s="67"/>
      <c r="H102" s="67"/>
      <c r="I102" s="44">
        <f t="shared" si="10"/>
        <v>6</v>
      </c>
      <c r="J102" s="44" t="s">
        <v>31</v>
      </c>
      <c r="K102" s="41"/>
    </row>
    <row r="103" spans="1:11" s="71" customFormat="1" ht="14.25" customHeight="1" x14ac:dyDescent="0.35">
      <c r="A103" s="53"/>
      <c r="B103" s="40"/>
      <c r="C103" s="51" t="s">
        <v>213</v>
      </c>
      <c r="D103" s="51"/>
      <c r="E103" s="68">
        <f>MIN(E104:E109)</f>
        <v>46305</v>
      </c>
      <c r="F103" s="94">
        <f>MAX(F104:F109)</f>
        <v>46353</v>
      </c>
      <c r="G103" s="67"/>
      <c r="H103" s="67"/>
      <c r="I103" s="55">
        <f t="shared" si="10"/>
        <v>49</v>
      </c>
      <c r="J103" s="55" t="s">
        <v>22</v>
      </c>
      <c r="K103" s="51"/>
    </row>
    <row r="104" spans="1:11" ht="14.25" customHeight="1" x14ac:dyDescent="0.35">
      <c r="A104" s="40" t="s">
        <v>214</v>
      </c>
      <c r="B104" s="40" t="str">
        <f>"AR-"&amp;"0"&amp;ROW()-23</f>
        <v>AR-081</v>
      </c>
      <c r="C104" s="40" t="s">
        <v>413</v>
      </c>
      <c r="D104" s="49" t="s">
        <v>149</v>
      </c>
      <c r="E104" s="67">
        <v>46305</v>
      </c>
      <c r="F104" s="67">
        <v>46322</v>
      </c>
      <c r="G104" s="67"/>
      <c r="H104" s="67"/>
      <c r="I104" s="44">
        <f t="shared" si="10"/>
        <v>18</v>
      </c>
      <c r="J104" s="44" t="s">
        <v>22</v>
      </c>
      <c r="K104" s="41"/>
    </row>
    <row r="105" spans="1:11" ht="14.25" customHeight="1" x14ac:dyDescent="0.35">
      <c r="A105" s="40"/>
      <c r="B105" s="40" t="str">
        <f t="shared" ref="B105:B109" si="12">"AR-"&amp;"0"&amp;ROW()-23</f>
        <v>AR-082</v>
      </c>
      <c r="C105" s="40" t="s">
        <v>215</v>
      </c>
      <c r="D105" s="49" t="s">
        <v>14</v>
      </c>
      <c r="E105" s="67">
        <v>46313</v>
      </c>
      <c r="F105" s="67">
        <v>46317</v>
      </c>
      <c r="G105" s="67"/>
      <c r="H105" s="67"/>
      <c r="I105" s="44">
        <f t="shared" si="10"/>
        <v>5</v>
      </c>
      <c r="J105" s="44" t="s">
        <v>31</v>
      </c>
      <c r="K105" s="41"/>
    </row>
    <row r="106" spans="1:11" ht="14.25" customHeight="1" x14ac:dyDescent="0.35">
      <c r="A106" s="40" t="s">
        <v>216</v>
      </c>
      <c r="B106" s="40" t="str">
        <f t="shared" si="12"/>
        <v>AR-083</v>
      </c>
      <c r="C106" s="40" t="s">
        <v>217</v>
      </c>
      <c r="D106" s="49" t="s">
        <v>149</v>
      </c>
      <c r="E106" s="67">
        <v>46323</v>
      </c>
      <c r="F106" s="67">
        <v>46330</v>
      </c>
      <c r="G106" s="67"/>
      <c r="H106" s="67"/>
      <c r="I106" s="44">
        <f t="shared" si="10"/>
        <v>8</v>
      </c>
      <c r="J106" s="44" t="s">
        <v>31</v>
      </c>
      <c r="K106" s="41"/>
    </row>
    <row r="107" spans="1:11" ht="14.25" customHeight="1" x14ac:dyDescent="0.35">
      <c r="A107" s="40"/>
      <c r="B107" s="40" t="str">
        <f t="shared" si="12"/>
        <v>AR-084</v>
      </c>
      <c r="C107" s="40" t="s">
        <v>218</v>
      </c>
      <c r="D107" s="49" t="s">
        <v>14</v>
      </c>
      <c r="E107" s="67">
        <v>46331</v>
      </c>
      <c r="F107" s="67">
        <v>46335</v>
      </c>
      <c r="G107" s="67"/>
      <c r="H107" s="67"/>
      <c r="I107" s="44">
        <f t="shared" si="10"/>
        <v>5</v>
      </c>
      <c r="J107" s="44" t="s">
        <v>31</v>
      </c>
      <c r="K107" s="41"/>
    </row>
    <row r="108" spans="1:11" ht="14.25" customHeight="1" x14ac:dyDescent="0.35">
      <c r="A108" s="40" t="s">
        <v>219</v>
      </c>
      <c r="B108" s="40" t="str">
        <f t="shared" si="12"/>
        <v>AR-085</v>
      </c>
      <c r="C108" s="40" t="s">
        <v>220</v>
      </c>
      <c r="D108" s="49" t="s">
        <v>149</v>
      </c>
      <c r="E108" s="67">
        <v>46336</v>
      </c>
      <c r="F108" s="67">
        <v>46353</v>
      </c>
      <c r="G108" s="67"/>
      <c r="H108" s="67"/>
      <c r="I108" s="44">
        <f t="shared" si="10"/>
        <v>18</v>
      </c>
      <c r="J108" s="44" t="s">
        <v>31</v>
      </c>
      <c r="K108" s="41"/>
    </row>
    <row r="109" spans="1:11" ht="14.25" customHeight="1" x14ac:dyDescent="0.35">
      <c r="A109" s="40"/>
      <c r="B109" s="40" t="str">
        <f t="shared" si="12"/>
        <v>AR-086</v>
      </c>
      <c r="C109" s="40" t="s">
        <v>221</v>
      </c>
      <c r="D109" s="49" t="s">
        <v>14</v>
      </c>
      <c r="E109" s="67">
        <v>46344</v>
      </c>
      <c r="F109" s="67">
        <v>46348</v>
      </c>
      <c r="G109" s="67"/>
      <c r="H109" s="67"/>
      <c r="I109" s="44">
        <f t="shared" si="10"/>
        <v>5</v>
      </c>
      <c r="J109" s="44" t="s">
        <v>31</v>
      </c>
      <c r="K109" s="41"/>
    </row>
    <row r="110" spans="1:11" s="71" customFormat="1" ht="14.25" customHeight="1" x14ac:dyDescent="0.35">
      <c r="A110" s="53"/>
      <c r="B110" s="40"/>
      <c r="C110" s="51" t="s">
        <v>222</v>
      </c>
      <c r="D110" s="51"/>
      <c r="E110" s="68">
        <f>MIN(E111:E122)</f>
        <v>46344</v>
      </c>
      <c r="F110" s="94">
        <f>MAX(F111:F122)</f>
        <v>46404</v>
      </c>
      <c r="G110" s="94"/>
      <c r="H110" s="94"/>
      <c r="I110" s="55">
        <f t="shared" si="10"/>
        <v>61</v>
      </c>
      <c r="J110" s="55" t="s">
        <v>31</v>
      </c>
      <c r="K110" s="51"/>
    </row>
    <row r="111" spans="1:11" ht="14.25" customHeight="1" x14ac:dyDescent="0.35">
      <c r="A111" s="40" t="s">
        <v>223</v>
      </c>
      <c r="B111" s="40" t="str">
        <f>"AR-"&amp;"0"&amp;ROW()-24</f>
        <v>AR-087</v>
      </c>
      <c r="C111" s="40" t="s">
        <v>224</v>
      </c>
      <c r="D111" s="49" t="s">
        <v>149</v>
      </c>
      <c r="E111" s="67">
        <v>46344</v>
      </c>
      <c r="F111" s="67">
        <v>46360</v>
      </c>
      <c r="G111" s="67"/>
      <c r="H111" s="67"/>
      <c r="I111" s="44">
        <f t="shared" si="10"/>
        <v>17</v>
      </c>
      <c r="J111" s="44" t="s">
        <v>31</v>
      </c>
      <c r="K111" s="41"/>
    </row>
    <row r="112" spans="1:11" ht="14.25" customHeight="1" x14ac:dyDescent="0.35">
      <c r="A112" s="40"/>
      <c r="B112" s="40" t="str">
        <f t="shared" ref="B112:B121" si="13">"AR-"&amp;"0"&amp;ROW()-24</f>
        <v>AR-088</v>
      </c>
      <c r="C112" s="40" t="s">
        <v>225</v>
      </c>
      <c r="D112" s="49" t="s">
        <v>14</v>
      </c>
      <c r="E112" s="67">
        <v>46351</v>
      </c>
      <c r="F112" s="67">
        <v>46357</v>
      </c>
      <c r="G112" s="67"/>
      <c r="H112" s="67"/>
      <c r="I112" s="44">
        <f t="shared" si="10"/>
        <v>7</v>
      </c>
      <c r="J112" s="44" t="s">
        <v>31</v>
      </c>
      <c r="K112" s="41"/>
    </row>
    <row r="113" spans="1:11" ht="14.25" customHeight="1" x14ac:dyDescent="0.35">
      <c r="A113" s="40"/>
      <c r="B113" s="40" t="str">
        <f t="shared" si="13"/>
        <v>AR-089</v>
      </c>
      <c r="C113" s="40" t="s">
        <v>226</v>
      </c>
      <c r="D113" s="49" t="s">
        <v>149</v>
      </c>
      <c r="E113" s="67">
        <v>46358</v>
      </c>
      <c r="F113" s="67">
        <v>46367</v>
      </c>
      <c r="G113" s="67"/>
      <c r="H113" s="67"/>
      <c r="I113" s="44">
        <f t="shared" si="10"/>
        <v>10</v>
      </c>
      <c r="J113" s="44" t="s">
        <v>31</v>
      </c>
      <c r="K113" s="41"/>
    </row>
    <row r="114" spans="1:11" ht="14.25" customHeight="1" x14ac:dyDescent="0.35">
      <c r="A114" s="40"/>
      <c r="B114" s="40" t="str">
        <f t="shared" si="13"/>
        <v>AR-090</v>
      </c>
      <c r="C114" s="40" t="s">
        <v>227</v>
      </c>
      <c r="D114" s="49" t="s">
        <v>14</v>
      </c>
      <c r="E114" s="67">
        <v>46360</v>
      </c>
      <c r="F114" s="67">
        <v>46370</v>
      </c>
      <c r="G114" s="67"/>
      <c r="H114" s="67"/>
      <c r="I114" s="44">
        <f t="shared" si="10"/>
        <v>11</v>
      </c>
      <c r="J114" s="44" t="s">
        <v>31</v>
      </c>
      <c r="K114" s="41"/>
    </row>
    <row r="115" spans="1:11" ht="14.25" customHeight="1" x14ac:dyDescent="0.35">
      <c r="A115" s="40" t="s">
        <v>228</v>
      </c>
      <c r="B115" s="40" t="str">
        <f t="shared" si="13"/>
        <v>AR-091</v>
      </c>
      <c r="C115" s="40" t="s">
        <v>229</v>
      </c>
      <c r="D115" s="49" t="s">
        <v>149</v>
      </c>
      <c r="E115" s="67">
        <v>46361</v>
      </c>
      <c r="F115" s="67">
        <v>46367</v>
      </c>
      <c r="G115" s="67"/>
      <c r="H115" s="67"/>
      <c r="I115" s="44">
        <f t="shared" si="10"/>
        <v>7</v>
      </c>
      <c r="J115" s="44" t="s">
        <v>31</v>
      </c>
      <c r="K115" s="41"/>
    </row>
    <row r="116" spans="1:11" ht="14.25" customHeight="1" x14ac:dyDescent="0.35">
      <c r="A116" s="40"/>
      <c r="B116" s="40" t="str">
        <f t="shared" si="13"/>
        <v>AR-092</v>
      </c>
      <c r="C116" s="40" t="s">
        <v>230</v>
      </c>
      <c r="D116" s="49" t="s">
        <v>14</v>
      </c>
      <c r="E116" s="67">
        <v>46368</v>
      </c>
      <c r="F116" s="67">
        <v>46374</v>
      </c>
      <c r="G116" s="67"/>
      <c r="H116" s="67"/>
      <c r="I116" s="44">
        <f t="shared" si="10"/>
        <v>7</v>
      </c>
      <c r="J116" s="44" t="s">
        <v>31</v>
      </c>
      <c r="K116" s="41"/>
    </row>
    <row r="117" spans="1:11" ht="14.25" customHeight="1" x14ac:dyDescent="0.35">
      <c r="A117" s="40"/>
      <c r="B117" s="40" t="str">
        <f t="shared" si="13"/>
        <v>AR-093</v>
      </c>
      <c r="C117" s="40" t="s">
        <v>231</v>
      </c>
      <c r="D117" s="49" t="s">
        <v>149</v>
      </c>
      <c r="E117" s="67">
        <v>46375</v>
      </c>
      <c r="F117" s="67">
        <v>46376</v>
      </c>
      <c r="G117" s="67"/>
      <c r="H117" s="67"/>
      <c r="I117" s="44">
        <f t="shared" si="10"/>
        <v>2</v>
      </c>
      <c r="J117" s="44" t="s">
        <v>31</v>
      </c>
      <c r="K117" s="41"/>
    </row>
    <row r="118" spans="1:11" ht="14.25" customHeight="1" x14ac:dyDescent="0.35">
      <c r="A118" s="40"/>
      <c r="B118" s="40" t="str">
        <f t="shared" si="13"/>
        <v>AR-094</v>
      </c>
      <c r="C118" s="40" t="s">
        <v>232</v>
      </c>
      <c r="D118" s="49" t="s">
        <v>14</v>
      </c>
      <c r="E118" s="67">
        <v>46377</v>
      </c>
      <c r="F118" s="67">
        <v>46387</v>
      </c>
      <c r="G118" s="67"/>
      <c r="H118" s="67"/>
      <c r="I118" s="44">
        <f t="shared" si="10"/>
        <v>11</v>
      </c>
      <c r="J118" s="44" t="s">
        <v>31</v>
      </c>
      <c r="K118" s="41"/>
    </row>
    <row r="119" spans="1:11" ht="14.25" customHeight="1" x14ac:dyDescent="0.35">
      <c r="A119" s="40" t="s">
        <v>233</v>
      </c>
      <c r="B119" s="40" t="str">
        <f t="shared" si="13"/>
        <v>AR-095</v>
      </c>
      <c r="C119" s="40" t="s">
        <v>234</v>
      </c>
      <c r="D119" s="49" t="s">
        <v>149</v>
      </c>
      <c r="E119" s="67">
        <v>46375</v>
      </c>
      <c r="F119" s="67">
        <v>46391</v>
      </c>
      <c r="G119" s="67"/>
      <c r="H119" s="67"/>
      <c r="I119" s="44">
        <f t="shared" si="10"/>
        <v>17</v>
      </c>
      <c r="J119" s="44" t="s">
        <v>31</v>
      </c>
      <c r="K119" s="41"/>
    </row>
    <row r="120" spans="1:11" ht="14.25" customHeight="1" x14ac:dyDescent="0.35">
      <c r="A120" s="40"/>
      <c r="B120" s="40" t="str">
        <f t="shared" si="13"/>
        <v>AR-096</v>
      </c>
      <c r="C120" s="40" t="s">
        <v>235</v>
      </c>
      <c r="D120" s="49" t="s">
        <v>14</v>
      </c>
      <c r="E120" s="67">
        <v>46382</v>
      </c>
      <c r="F120" s="67">
        <v>46388</v>
      </c>
      <c r="G120" s="67"/>
      <c r="H120" s="67"/>
      <c r="I120" s="44">
        <f t="shared" si="10"/>
        <v>7</v>
      </c>
      <c r="J120" s="44" t="s">
        <v>31</v>
      </c>
      <c r="K120" s="41"/>
    </row>
    <row r="121" spans="1:11" ht="14.25" customHeight="1" x14ac:dyDescent="0.35">
      <c r="A121" s="40"/>
      <c r="B121" s="40" t="str">
        <f t="shared" si="13"/>
        <v>AR-097</v>
      </c>
      <c r="C121" s="40" t="s">
        <v>236</v>
      </c>
      <c r="D121" s="49" t="s">
        <v>149</v>
      </c>
      <c r="E121" s="67">
        <v>46389</v>
      </c>
      <c r="F121" s="67">
        <v>46398</v>
      </c>
      <c r="G121" s="67"/>
      <c r="H121" s="67"/>
      <c r="I121" s="44">
        <f t="shared" si="10"/>
        <v>10</v>
      </c>
      <c r="J121" s="44" t="s">
        <v>31</v>
      </c>
      <c r="K121" s="41"/>
    </row>
    <row r="122" spans="1:11" ht="14.25" customHeight="1" x14ac:dyDescent="0.35">
      <c r="A122" s="40"/>
      <c r="B122" s="40" t="str">
        <f>"AR-"&amp;ROW()-24</f>
        <v>AR-98</v>
      </c>
      <c r="C122" s="40" t="s">
        <v>237</v>
      </c>
      <c r="D122" s="49" t="s">
        <v>14</v>
      </c>
      <c r="E122" s="67">
        <v>46391</v>
      </c>
      <c r="F122" s="67">
        <v>46404</v>
      </c>
      <c r="G122" s="67"/>
      <c r="H122" s="67"/>
      <c r="I122" s="44">
        <f t="shared" si="10"/>
        <v>14</v>
      </c>
      <c r="J122" s="44" t="s">
        <v>31</v>
      </c>
      <c r="K122" s="41"/>
    </row>
    <row r="123" spans="1:11" s="71" customFormat="1" ht="14.25" customHeight="1" x14ac:dyDescent="0.35">
      <c r="A123" s="53"/>
      <c r="B123" s="40"/>
      <c r="C123" s="51" t="s">
        <v>238</v>
      </c>
      <c r="D123" s="54"/>
      <c r="E123" s="68">
        <f>MIN(E124:E128)</f>
        <v>46381</v>
      </c>
      <c r="F123" s="68">
        <f>MAX(F124:F128)</f>
        <v>46418</v>
      </c>
      <c r="G123" s="68"/>
      <c r="H123" s="68"/>
      <c r="I123" s="55">
        <f t="shared" si="10"/>
        <v>38</v>
      </c>
      <c r="J123" s="55" t="s">
        <v>31</v>
      </c>
      <c r="K123" s="93"/>
    </row>
    <row r="124" spans="1:11" s="123" customFormat="1" ht="14.25" customHeight="1" x14ac:dyDescent="0.35">
      <c r="A124" s="40"/>
      <c r="B124" s="40" t="str">
        <f>"AR-"&amp;ROW()-25</f>
        <v>AR-99</v>
      </c>
      <c r="C124" s="40" t="s">
        <v>58</v>
      </c>
      <c r="D124" s="49" t="s">
        <v>164</v>
      </c>
      <c r="E124" s="67">
        <v>46391</v>
      </c>
      <c r="F124" s="67">
        <v>46410</v>
      </c>
      <c r="G124" s="67"/>
      <c r="H124" s="67"/>
      <c r="I124" s="44">
        <f t="shared" si="10"/>
        <v>20</v>
      </c>
      <c r="J124" s="44" t="s">
        <v>31</v>
      </c>
      <c r="K124" s="43"/>
    </row>
    <row r="125" spans="1:11" ht="14.25" customHeight="1" x14ac:dyDescent="0.35">
      <c r="A125" s="40"/>
      <c r="B125" s="40" t="str">
        <f t="shared" ref="B125:B129" si="14">"AR-"&amp;ROW()-25</f>
        <v>AR-100</v>
      </c>
      <c r="C125" s="40" t="s">
        <v>239</v>
      </c>
      <c r="D125" s="49" t="s">
        <v>164</v>
      </c>
      <c r="E125" s="67">
        <v>46381</v>
      </c>
      <c r="F125" s="67">
        <v>46407</v>
      </c>
      <c r="G125" s="67"/>
      <c r="H125" s="67"/>
      <c r="I125" s="44">
        <f t="shared" si="10"/>
        <v>27</v>
      </c>
      <c r="J125" s="44" t="s">
        <v>31</v>
      </c>
      <c r="K125" s="43"/>
    </row>
    <row r="126" spans="1:11" ht="14.25" customHeight="1" x14ac:dyDescent="0.35">
      <c r="A126" s="40"/>
      <c r="B126" s="40" t="str">
        <f t="shared" si="14"/>
        <v>AR-101</v>
      </c>
      <c r="C126" s="40" t="s">
        <v>240</v>
      </c>
      <c r="D126" s="49" t="s">
        <v>164</v>
      </c>
      <c r="E126" s="67">
        <v>46402</v>
      </c>
      <c r="F126" s="67">
        <v>46410</v>
      </c>
      <c r="G126" s="67"/>
      <c r="H126" s="67"/>
      <c r="I126" s="44">
        <f t="shared" si="10"/>
        <v>9</v>
      </c>
      <c r="J126" s="44" t="s">
        <v>31</v>
      </c>
      <c r="K126" s="43"/>
    </row>
    <row r="127" spans="1:11" ht="14.25" customHeight="1" x14ac:dyDescent="0.35">
      <c r="A127" s="40"/>
      <c r="B127" s="40" t="str">
        <f t="shared" si="14"/>
        <v>AR-102</v>
      </c>
      <c r="C127" s="40" t="s">
        <v>241</v>
      </c>
      <c r="D127" s="49" t="s">
        <v>197</v>
      </c>
      <c r="E127" s="67">
        <v>46411</v>
      </c>
      <c r="F127" s="67">
        <v>46411</v>
      </c>
      <c r="G127" s="67"/>
      <c r="H127" s="67"/>
      <c r="I127" s="44">
        <f t="shared" ref="I127:I129" si="15">F127-E127+1</f>
        <v>1</v>
      </c>
      <c r="J127" s="44" t="s">
        <v>31</v>
      </c>
      <c r="K127" s="41"/>
    </row>
    <row r="128" spans="1:11" ht="14.25" customHeight="1" x14ac:dyDescent="0.35">
      <c r="A128" s="40"/>
      <c r="B128" s="40" t="str">
        <f t="shared" si="14"/>
        <v>AR-103</v>
      </c>
      <c r="C128" s="40" t="s">
        <v>242</v>
      </c>
      <c r="D128" s="49" t="s">
        <v>199</v>
      </c>
      <c r="E128" s="67">
        <v>46412</v>
      </c>
      <c r="F128" s="67">
        <v>46418</v>
      </c>
      <c r="G128" s="67"/>
      <c r="H128" s="67"/>
      <c r="I128" s="44">
        <f t="shared" si="15"/>
        <v>7</v>
      </c>
      <c r="J128" s="44" t="s">
        <v>31</v>
      </c>
      <c r="K128" s="41"/>
    </row>
    <row r="129" spans="1:11" s="123" customFormat="1" ht="14.25" customHeight="1" x14ac:dyDescent="0.35">
      <c r="A129" s="40"/>
      <c r="B129" s="40" t="str">
        <f t="shared" si="14"/>
        <v>AR-104</v>
      </c>
      <c r="C129" s="40" t="s">
        <v>30</v>
      </c>
      <c r="D129" s="49" t="s">
        <v>28</v>
      </c>
      <c r="E129" s="67">
        <v>46436</v>
      </c>
      <c r="F129" s="67">
        <v>46456</v>
      </c>
      <c r="G129" s="67"/>
      <c r="H129" s="67"/>
      <c r="I129" s="44">
        <f t="shared" si="15"/>
        <v>21</v>
      </c>
      <c r="J129" s="44" t="s">
        <v>31</v>
      </c>
      <c r="K129" s="45"/>
    </row>
    <row r="130" spans="1:11" ht="14.25" customHeight="1" x14ac:dyDescent="0.35">
      <c r="A130" s="84"/>
      <c r="B130" s="85"/>
      <c r="C130" s="85"/>
      <c r="D130" s="52"/>
      <c r="E130" s="86"/>
      <c r="F130" s="86"/>
      <c r="G130" s="86"/>
      <c r="H130" s="86"/>
      <c r="I130" s="87"/>
      <c r="J130" s="87"/>
      <c r="K130" s="52"/>
    </row>
  </sheetData>
  <autoFilter ref="A8:K129"/>
  <mergeCells count="2">
    <mergeCell ref="A49:A54"/>
    <mergeCell ref="A38:A45"/>
  </mergeCells>
  <phoneticPr fontId="1" type="noConversion"/>
  <conditionalFormatting sqref="J1:J68 J70:J212">
    <cfRule type="cellIs" dxfId="15" priority="5" operator="equal">
      <formula>"Overdue"</formula>
    </cfRule>
  </conditionalFormatting>
  <conditionalFormatting sqref="J4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{98D514CB-9F86-0184-B740-01A64E0FDE3C}</x14:id>
        </ext>
      </extLst>
    </cfRule>
  </conditionalFormatting>
  <conditionalFormatting sqref="J19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{285C1962-0EE6-DB6E-686E-D93232CDF58A}</x14:id>
        </ext>
      </extLst>
    </cfRule>
  </conditionalFormatting>
  <conditionalFormatting sqref="J7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{5AA8E60D-350E-62A7-17F8-1F59A4BDCA91}</x14:id>
        </ext>
      </extLst>
    </cfRule>
  </conditionalFormatting>
  <conditionalFormatting sqref="J1:J68 J70:J212">
    <cfRule type="cellIs" dxfId="14" priority="6" operator="equal">
      <formula>"Completed"</formula>
    </cfRule>
  </conditionalFormatting>
  <conditionalFormatting sqref="J5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{3B9CD2EB-36A2-4DE8-31B4-6377BC2EF36E}</x14:id>
        </ext>
      </extLst>
    </cfRule>
  </conditionalFormatting>
  <conditionalFormatting sqref="J35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{EBEEAEEF-FD86-797C-E930-D563C1AB8ED1}</x14:id>
        </ext>
      </extLst>
    </cfRule>
  </conditionalFormatting>
  <conditionalFormatting sqref="J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{41F01EA4-EA1D-33B3-ED5E-62479441C6E8}</x14:id>
        </ext>
      </extLst>
    </cfRule>
  </conditionalFormatting>
  <conditionalFormatting sqref="J1:J68 J70:J212">
    <cfRule type="cellIs" dxfId="13" priority="7" operator="equal">
      <formula>"Ongoing"</formula>
    </cfRule>
  </conditionalFormatting>
  <conditionalFormatting sqref="J69">
    <cfRule type="cellIs" dxfId="12" priority="1" operator="equal">
      <formula>"Overdue"</formula>
    </cfRule>
  </conditionalFormatting>
  <conditionalFormatting sqref="J6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{7D3A2DA0-FCBB-4013-A88F-C97143392498}</x14:id>
        </ext>
      </extLst>
    </cfRule>
  </conditionalFormatting>
  <conditionalFormatting sqref="J69">
    <cfRule type="cellIs" dxfId="11" priority="2" operator="equal">
      <formula>"Completed"</formula>
    </cfRule>
  </conditionalFormatting>
  <conditionalFormatting sqref="J69">
    <cfRule type="cellIs" dxfId="10" priority="3" operator="equal">
      <formula>"Ongoing"</formula>
    </cfRule>
  </conditionalFormatting>
  <dataValidations count="2">
    <dataValidation type="list" allowBlank="1" showInputMessage="1" showErrorMessage="1" sqref="B6">
      <formula1>"Month,Week,Day"</formula1>
    </dataValidation>
    <dataValidation type="list" allowBlank="1" showInputMessage="1" showErrorMessage="1" sqref="J9:J1048576">
      <formula1>"To be start,Ongoing,Completed,Overdue"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D514CB-9F86-0184-B740-01A64E0FDE3C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J46</xm:sqref>
        </x14:conditionalFormatting>
        <x14:conditionalFormatting xmlns:xm="http://schemas.microsoft.com/office/excel/2006/main">
          <x14:cfRule type="dataBar" id="{285C1962-0EE6-DB6E-686E-D93232CDF58A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J19</xm:sqref>
        </x14:conditionalFormatting>
        <x14:conditionalFormatting xmlns:xm="http://schemas.microsoft.com/office/excel/2006/main">
          <x14:cfRule type="dataBar" id="{5AA8E60D-350E-62A7-17F8-1F59A4BDCA9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J78</xm:sqref>
        </x14:conditionalFormatting>
        <x14:conditionalFormatting xmlns:xm="http://schemas.microsoft.com/office/excel/2006/main">
          <x14:cfRule type="dataBar" id="{3B9CD2EB-36A2-4DE8-31B4-6377BC2EF36E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J55</xm:sqref>
        </x14:conditionalFormatting>
        <x14:conditionalFormatting xmlns:xm="http://schemas.microsoft.com/office/excel/2006/main">
          <x14:cfRule type="dataBar" id="{EBEEAEEF-FD86-797C-E930-D563C1AB8ED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J35</xm:sqref>
        </x14:conditionalFormatting>
        <x14:conditionalFormatting xmlns:xm="http://schemas.microsoft.com/office/excel/2006/main">
          <x14:cfRule type="dataBar" id="{41F01EA4-EA1D-33B3-ED5E-62479441C6E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J93</xm:sqref>
        </x14:conditionalFormatting>
        <x14:conditionalFormatting xmlns:xm="http://schemas.microsoft.com/office/excel/2006/main">
          <x14:cfRule type="dataBar" id="{7D3A2DA0-FCBB-4013-A88F-C9714339249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23" customWidth="1"/>
    <col min="4" max="5" width="11.765625" style="123" customWidth="1"/>
    <col min="6" max="6" width="21.4609375" style="123" customWidth="1"/>
  </cols>
  <sheetData>
    <row r="1" spans="1:17" ht="14.25" customHeight="1" x14ac:dyDescent="0.35">
      <c r="A1" s="5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4" t="s">
        <v>248</v>
      </c>
      <c r="G1" s="4" t="s">
        <v>249</v>
      </c>
    </row>
    <row r="2" spans="1:17" ht="14.25" customHeight="1" x14ac:dyDescent="0.35">
      <c r="A2" s="95">
        <v>1</v>
      </c>
      <c r="B2" s="123" t="s">
        <v>250</v>
      </c>
      <c r="C2" s="123" t="s">
        <v>251</v>
      </c>
      <c r="D2" s="96">
        <v>44834</v>
      </c>
      <c r="E2" s="96">
        <v>44846</v>
      </c>
      <c r="F2" s="123" t="s">
        <v>252</v>
      </c>
      <c r="G2" s="123" t="s">
        <v>253</v>
      </c>
    </row>
    <row r="3" spans="1:17" ht="14.25" customHeight="1" x14ac:dyDescent="0.35">
      <c r="A3" s="95">
        <v>2</v>
      </c>
      <c r="B3" s="123" t="s">
        <v>254</v>
      </c>
      <c r="C3" s="123" t="s">
        <v>251</v>
      </c>
      <c r="D3" s="96">
        <v>44839</v>
      </c>
      <c r="E3" s="96">
        <v>44857</v>
      </c>
      <c r="F3" s="123" t="s">
        <v>255</v>
      </c>
      <c r="G3" s="123" t="s">
        <v>256</v>
      </c>
    </row>
    <row r="4" spans="1:17" ht="14.25" customHeight="1" x14ac:dyDescent="0.35">
      <c r="A4" s="95">
        <v>3</v>
      </c>
      <c r="B4" s="123" t="s">
        <v>257</v>
      </c>
      <c r="C4" s="123" t="s">
        <v>251</v>
      </c>
      <c r="D4" s="96">
        <v>44839</v>
      </c>
      <c r="E4" s="96">
        <v>44849</v>
      </c>
      <c r="F4" s="123" t="s">
        <v>258</v>
      </c>
      <c r="G4" s="123" t="s">
        <v>259</v>
      </c>
    </row>
    <row r="5" spans="1:17" s="123" customFormat="1" ht="14.25" customHeight="1" x14ac:dyDescent="0.35">
      <c r="A5" s="95">
        <v>4</v>
      </c>
      <c r="B5" s="123" t="s">
        <v>260</v>
      </c>
      <c r="C5" s="123" t="s">
        <v>251</v>
      </c>
      <c r="D5" s="96">
        <v>44839</v>
      </c>
      <c r="E5" s="96">
        <v>44849</v>
      </c>
      <c r="F5" s="123" t="s">
        <v>261</v>
      </c>
    </row>
    <row r="6" spans="1:17" ht="14.25" customHeight="1" x14ac:dyDescent="0.35">
      <c r="A6" s="95">
        <v>5</v>
      </c>
      <c r="B6" s="123" t="s">
        <v>262</v>
      </c>
      <c r="C6" s="123" t="s">
        <v>251</v>
      </c>
      <c r="D6" s="96">
        <v>44839</v>
      </c>
      <c r="E6" s="96">
        <v>44864</v>
      </c>
      <c r="F6" s="123" t="s">
        <v>263</v>
      </c>
    </row>
    <row r="7" spans="1:17" ht="14.25" customHeight="1" x14ac:dyDescent="0.35">
      <c r="A7" s="95">
        <v>6</v>
      </c>
      <c r="B7" s="123" t="s">
        <v>264</v>
      </c>
      <c r="C7" s="123" t="s">
        <v>251</v>
      </c>
      <c r="D7" s="96">
        <v>44839</v>
      </c>
      <c r="E7" s="96">
        <v>44854</v>
      </c>
      <c r="F7" s="123" t="s">
        <v>265</v>
      </c>
      <c r="G7" s="123" t="s">
        <v>266</v>
      </c>
    </row>
    <row r="8" spans="1:17" ht="14.25" customHeight="1" x14ac:dyDescent="0.35">
      <c r="A8" s="95">
        <v>7</v>
      </c>
      <c r="B8" s="123" t="s">
        <v>267</v>
      </c>
      <c r="C8" s="123" t="s">
        <v>251</v>
      </c>
      <c r="D8" s="96">
        <v>44839</v>
      </c>
      <c r="E8" s="96">
        <v>44846</v>
      </c>
      <c r="F8" s="96" t="s">
        <v>268</v>
      </c>
      <c r="G8" s="123" t="s">
        <v>269</v>
      </c>
    </row>
    <row r="9" spans="1:17" ht="17.149999999999999" customHeight="1" x14ac:dyDescent="0.35">
      <c r="A9" s="95">
        <v>8</v>
      </c>
      <c r="B9" s="123" t="s">
        <v>270</v>
      </c>
      <c r="C9" s="123" t="s">
        <v>251</v>
      </c>
      <c r="D9" s="96">
        <v>44846</v>
      </c>
      <c r="E9" s="96">
        <v>44854</v>
      </c>
      <c r="F9" s="123" t="s">
        <v>271</v>
      </c>
      <c r="G9" s="162" t="s">
        <v>272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14.25" customHeight="1" x14ac:dyDescent="0.35">
      <c r="A10" s="95">
        <v>9</v>
      </c>
      <c r="B10" s="123" t="s">
        <v>273</v>
      </c>
      <c r="C10" s="123" t="s">
        <v>251</v>
      </c>
      <c r="D10" s="96">
        <v>44846</v>
      </c>
      <c r="E10" s="96">
        <v>44854</v>
      </c>
      <c r="G10" s="123" t="s">
        <v>274</v>
      </c>
    </row>
    <row r="11" spans="1:17" s="123" customFormat="1" ht="14.25" customHeight="1" x14ac:dyDescent="0.35">
      <c r="A11" s="95">
        <v>11</v>
      </c>
      <c r="B11" s="123" t="s">
        <v>275</v>
      </c>
      <c r="C11" s="123" t="s">
        <v>251</v>
      </c>
      <c r="D11" s="96">
        <v>44846</v>
      </c>
      <c r="E11" s="96">
        <v>44858</v>
      </c>
      <c r="F11" s="123" t="s">
        <v>276</v>
      </c>
      <c r="G11" s="123" t="s">
        <v>277</v>
      </c>
    </row>
    <row r="12" spans="1:17" ht="12.65" customHeight="1" x14ac:dyDescent="0.35">
      <c r="A12" s="95">
        <v>13</v>
      </c>
      <c r="B12" s="123" t="s">
        <v>278</v>
      </c>
      <c r="C12" s="123" t="s">
        <v>251</v>
      </c>
      <c r="D12" s="96">
        <v>44846</v>
      </c>
      <c r="E12" s="96">
        <v>44866</v>
      </c>
      <c r="F12" s="118" t="s">
        <v>279</v>
      </c>
      <c r="G12" s="2" t="s">
        <v>280</v>
      </c>
      <c r="H12" s="2"/>
      <c r="I12" s="123" t="s">
        <v>281</v>
      </c>
    </row>
    <row r="13" spans="1:17" ht="14.25" customHeight="1" x14ac:dyDescent="0.35">
      <c r="A13" s="95">
        <v>14</v>
      </c>
      <c r="B13" s="123" t="s">
        <v>282</v>
      </c>
      <c r="C13" s="123" t="s">
        <v>251</v>
      </c>
      <c r="D13" s="96">
        <v>44846</v>
      </c>
      <c r="E13" s="96">
        <v>44867</v>
      </c>
      <c r="F13" s="123" t="s">
        <v>255</v>
      </c>
      <c r="G13" s="123" t="s">
        <v>283</v>
      </c>
      <c r="H13" s="123"/>
    </row>
    <row r="14" spans="1:17" ht="14.25" customHeight="1" x14ac:dyDescent="0.35">
      <c r="A14" s="95">
        <v>10</v>
      </c>
      <c r="B14" s="123" t="s">
        <v>284</v>
      </c>
      <c r="C14" s="123" t="s">
        <v>251</v>
      </c>
      <c r="D14" s="96">
        <v>44854</v>
      </c>
      <c r="E14" s="96">
        <v>44854</v>
      </c>
      <c r="F14" s="96" t="s">
        <v>255</v>
      </c>
      <c r="G14" s="123" t="s">
        <v>285</v>
      </c>
    </row>
    <row r="15" spans="1:17" ht="14.25" customHeight="1" x14ac:dyDescent="0.35">
      <c r="A15" s="95">
        <v>12</v>
      </c>
      <c r="B15" s="123" t="s">
        <v>286</v>
      </c>
      <c r="C15" s="123" t="s">
        <v>251</v>
      </c>
      <c r="D15" s="96">
        <v>44860</v>
      </c>
      <c r="E15" s="96">
        <v>44860</v>
      </c>
      <c r="F15" s="123" t="s">
        <v>271</v>
      </c>
      <c r="G15" s="123" t="s">
        <v>287</v>
      </c>
    </row>
    <row r="16" spans="1:17" ht="14.25" customHeight="1" x14ac:dyDescent="0.35">
      <c r="A16" s="95">
        <v>15</v>
      </c>
      <c r="B16" s="123" t="s">
        <v>288</v>
      </c>
      <c r="C16" s="123" t="s">
        <v>251</v>
      </c>
      <c r="D16" s="96">
        <v>44860</v>
      </c>
      <c r="E16" s="96">
        <v>44861</v>
      </c>
      <c r="F16" s="123" t="s">
        <v>289</v>
      </c>
      <c r="G16" s="123" t="s">
        <v>290</v>
      </c>
    </row>
    <row r="17" spans="1:7" ht="14.25" customHeight="1" x14ac:dyDescent="0.35">
      <c r="A17" s="95">
        <v>17</v>
      </c>
      <c r="B17" s="123" t="s">
        <v>291</v>
      </c>
      <c r="C17" s="123" t="s">
        <v>251</v>
      </c>
      <c r="D17" s="96">
        <v>44860</v>
      </c>
      <c r="E17" s="96">
        <v>44860</v>
      </c>
      <c r="F17" s="123" t="s">
        <v>292</v>
      </c>
      <c r="G17" s="123" t="s">
        <v>293</v>
      </c>
    </row>
    <row r="18" spans="1:7" ht="14.25" customHeight="1" x14ac:dyDescent="0.35">
      <c r="A18" s="95">
        <v>18</v>
      </c>
      <c r="B18" s="123" t="s">
        <v>294</v>
      </c>
      <c r="C18" s="123" t="s">
        <v>251</v>
      </c>
      <c r="D18" s="96">
        <v>44860</v>
      </c>
      <c r="E18" s="96">
        <v>44862</v>
      </c>
      <c r="F18" s="123" t="s">
        <v>295</v>
      </c>
      <c r="G18" s="123" t="s">
        <v>296</v>
      </c>
    </row>
    <row r="19" spans="1:7" ht="14.25" customHeight="1" x14ac:dyDescent="0.35">
      <c r="A19" s="95">
        <v>16</v>
      </c>
      <c r="B19" s="123" t="s">
        <v>297</v>
      </c>
      <c r="C19" s="123" t="s">
        <v>251</v>
      </c>
      <c r="D19" s="96">
        <v>44867</v>
      </c>
      <c r="E19" s="96">
        <v>44867</v>
      </c>
      <c r="F19" s="123" t="s">
        <v>289</v>
      </c>
      <c r="G19" s="123" t="s">
        <v>298</v>
      </c>
    </row>
    <row r="20" spans="1:7" ht="14.25" customHeight="1" x14ac:dyDescent="0.35">
      <c r="A20" s="95">
        <v>5</v>
      </c>
      <c r="B20" s="123" t="s">
        <v>299</v>
      </c>
      <c r="C20" s="123" t="s">
        <v>251</v>
      </c>
      <c r="D20" s="96">
        <v>44846</v>
      </c>
      <c r="E20" s="1">
        <v>44874</v>
      </c>
      <c r="F20" s="123" t="s">
        <v>300</v>
      </c>
      <c r="G20" s="123" t="s">
        <v>301</v>
      </c>
    </row>
    <row r="21" spans="1:7" ht="14.25" customHeight="1" x14ac:dyDescent="0.35">
      <c r="A21" s="95">
        <v>7</v>
      </c>
      <c r="B21" s="123" t="s">
        <v>302</v>
      </c>
      <c r="C21" s="123" t="s">
        <v>251</v>
      </c>
      <c r="D21" s="96">
        <v>44846</v>
      </c>
      <c r="E21" s="1">
        <v>44860</v>
      </c>
      <c r="F21" s="123" t="s">
        <v>303</v>
      </c>
      <c r="G21" s="123" t="s">
        <v>304</v>
      </c>
    </row>
  </sheetData>
  <mergeCells count="1">
    <mergeCell ref="G9:Q9"/>
  </mergeCells>
  <phoneticPr fontId="1" type="noConversion"/>
  <conditionalFormatting sqref="C12:C13">
    <cfRule type="cellIs" dxfId="9" priority="53" operator="equal">
      <formula>"待启动"</formula>
    </cfRule>
  </conditionalFormatting>
  <conditionalFormatting sqref="C16:C18">
    <cfRule type="cellIs" dxfId="8" priority="41" operator="equal">
      <formula>"待启动"</formula>
    </cfRule>
  </conditionalFormatting>
  <conditionalFormatting sqref="C1:C200">
    <cfRule type="cellIs" dxfId="7" priority="29" operator="equal">
      <formula>"已完成"</formula>
    </cfRule>
  </conditionalFormatting>
  <conditionalFormatting sqref="C12:C13">
    <cfRule type="cellIs" dxfId="6" priority="54" operator="equal">
      <formula>"未开始"</formula>
    </cfRule>
  </conditionalFormatting>
  <conditionalFormatting sqref="C16:C18">
    <cfRule type="cellIs" dxfId="5" priority="42" operator="equal">
      <formula>"未开始"</formula>
    </cfRule>
  </conditionalFormatting>
  <conditionalFormatting sqref="C16:C18">
    <cfRule type="cellIs" dxfId="4" priority="43" operator="equal">
      <formula>"进行中"</formula>
    </cfRule>
  </conditionalFormatting>
  <conditionalFormatting sqref="C12:C13">
    <cfRule type="cellIs" dxfId="3" priority="55" operator="equal">
      <formula>"进行中"</formula>
    </cfRule>
  </conditionalFormatting>
  <conditionalFormatting sqref="C20:C21">
    <cfRule type="cellIs" dxfId="2" priority="30" operator="equal">
      <formula>"待启动"</formula>
    </cfRule>
  </conditionalFormatting>
  <conditionalFormatting sqref="C20:C21">
    <cfRule type="cellIs" dxfId="1" priority="31" operator="equal">
      <formula>"未开始"</formula>
    </cfRule>
  </conditionalFormatting>
  <conditionalFormatting sqref="C20:C21">
    <cfRule type="cellIs" dxfId="0" priority="32" operator="equal">
      <formula>"进行中"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23" customWidth="1"/>
    <col min="2" max="2" width="11.765625" style="123" customWidth="1"/>
    <col min="3" max="3" width="13.765625" style="123" customWidth="1"/>
    <col min="6" max="7" width="8.84375" style="123" customWidth="1"/>
    <col min="8" max="8" width="15" style="123" customWidth="1"/>
    <col min="9" max="9" width="14.3828125" style="6" customWidth="1"/>
    <col min="10" max="12" width="11.3828125" style="123" customWidth="1"/>
  </cols>
  <sheetData>
    <row r="2" spans="1:13" ht="14.25" customHeight="1" x14ac:dyDescent="0.35">
      <c r="A2" s="38" t="s">
        <v>305</v>
      </c>
      <c r="B2" s="30" t="s">
        <v>306</v>
      </c>
      <c r="C2" s="30" t="s">
        <v>307</v>
      </c>
      <c r="D2" s="30" t="s">
        <v>245</v>
      </c>
      <c r="E2" s="30" t="s">
        <v>308</v>
      </c>
      <c r="F2" s="30" t="s">
        <v>309</v>
      </c>
      <c r="G2" s="30" t="s">
        <v>310</v>
      </c>
      <c r="H2" s="30">
        <v>210446</v>
      </c>
      <c r="I2" s="30" t="s">
        <v>311</v>
      </c>
      <c r="J2" s="30" t="s">
        <v>312</v>
      </c>
      <c r="K2" s="30" t="s">
        <v>313</v>
      </c>
      <c r="L2" s="30" t="s">
        <v>314</v>
      </c>
      <c r="M2" s="30" t="s">
        <v>315</v>
      </c>
    </row>
    <row r="3" spans="1:13" ht="16.149999999999999" customHeight="1" x14ac:dyDescent="0.35">
      <c r="A3" s="31" t="s">
        <v>316</v>
      </c>
      <c r="B3" s="32" t="s">
        <v>317</v>
      </c>
      <c r="C3" s="163" t="s">
        <v>318</v>
      </c>
      <c r="D3" s="163" t="s">
        <v>319</v>
      </c>
      <c r="E3" s="166" t="s">
        <v>320</v>
      </c>
      <c r="F3" s="166">
        <v>4</v>
      </c>
      <c r="G3" s="166">
        <v>5</v>
      </c>
      <c r="H3" s="33" t="s">
        <v>321</v>
      </c>
      <c r="I3" s="34">
        <v>1</v>
      </c>
      <c r="J3" s="33">
        <v>1</v>
      </c>
      <c r="K3" s="33">
        <v>2</v>
      </c>
      <c r="L3" s="33">
        <v>3</v>
      </c>
      <c r="M3" s="163" t="s">
        <v>322</v>
      </c>
    </row>
    <row r="4" spans="1:13" ht="16.149999999999999" customHeight="1" x14ac:dyDescent="0.35">
      <c r="A4" s="31" t="s">
        <v>323</v>
      </c>
      <c r="B4" s="32" t="s">
        <v>324</v>
      </c>
      <c r="C4" s="164"/>
      <c r="D4" s="164"/>
      <c r="E4" s="167"/>
      <c r="F4" s="167"/>
      <c r="G4" s="167"/>
      <c r="H4" s="33" t="s">
        <v>325</v>
      </c>
      <c r="I4" s="35"/>
      <c r="J4" s="9"/>
      <c r="K4" s="9"/>
      <c r="L4" s="9"/>
      <c r="M4" s="164"/>
    </row>
    <row r="5" spans="1:13" ht="16.149999999999999" customHeight="1" x14ac:dyDescent="0.35">
      <c r="A5" s="31" t="s">
        <v>326</v>
      </c>
      <c r="B5" s="23"/>
      <c r="C5" s="164"/>
      <c r="D5" s="164"/>
      <c r="E5" s="167"/>
      <c r="F5" s="167"/>
      <c r="G5" s="167"/>
      <c r="H5" s="33" t="s">
        <v>327</v>
      </c>
      <c r="I5" s="36">
        <v>44945</v>
      </c>
      <c r="J5" s="36">
        <v>45015</v>
      </c>
      <c r="K5" s="37">
        <v>45022</v>
      </c>
      <c r="L5" s="37">
        <v>45029</v>
      </c>
      <c r="M5" s="164"/>
    </row>
    <row r="6" spans="1:13" ht="16.149999999999999" customHeight="1" x14ac:dyDescent="0.35">
      <c r="A6" s="24"/>
      <c r="B6" s="23"/>
      <c r="C6" s="164"/>
      <c r="D6" s="164"/>
      <c r="E6" s="167"/>
      <c r="F6" s="167"/>
      <c r="G6" s="167"/>
      <c r="H6" s="33" t="s">
        <v>328</v>
      </c>
      <c r="I6" s="36">
        <v>44949</v>
      </c>
      <c r="J6" s="37">
        <v>45019</v>
      </c>
      <c r="K6" s="37">
        <v>45026</v>
      </c>
      <c r="L6" s="37">
        <v>45033</v>
      </c>
      <c r="M6" s="164"/>
    </row>
    <row r="7" spans="1:13" ht="16.149999999999999" customHeight="1" x14ac:dyDescent="0.35">
      <c r="A7" s="25"/>
      <c r="B7" s="26"/>
      <c r="C7" s="165"/>
      <c r="D7" s="165"/>
      <c r="E7" s="168"/>
      <c r="F7" s="168"/>
      <c r="G7" s="168"/>
      <c r="H7" s="33" t="s">
        <v>329</v>
      </c>
      <c r="I7" s="35"/>
      <c r="J7" s="9"/>
      <c r="K7" s="9"/>
      <c r="L7" s="9"/>
      <c r="M7" s="165"/>
    </row>
    <row r="8" spans="1:13" ht="16.149999999999999" customHeight="1" x14ac:dyDescent="0.35">
      <c r="A8" s="31" t="s">
        <v>330</v>
      </c>
      <c r="B8" s="163" t="s">
        <v>317</v>
      </c>
      <c r="C8" s="163" t="s">
        <v>331</v>
      </c>
      <c r="D8" s="163" t="s">
        <v>319</v>
      </c>
      <c r="E8" s="166" t="s">
        <v>332</v>
      </c>
      <c r="F8" s="166">
        <v>4.5</v>
      </c>
      <c r="G8" s="166">
        <v>4</v>
      </c>
      <c r="H8" s="33" t="s">
        <v>321</v>
      </c>
      <c r="I8" s="34">
        <v>1</v>
      </c>
      <c r="J8" s="33">
        <v>1</v>
      </c>
      <c r="K8" s="33">
        <v>2</v>
      </c>
      <c r="L8" s="33">
        <v>3</v>
      </c>
      <c r="M8" s="163" t="s">
        <v>322</v>
      </c>
    </row>
    <row r="9" spans="1:13" ht="16.149999999999999" customHeight="1" x14ac:dyDescent="0.35">
      <c r="A9" s="31" t="s">
        <v>333</v>
      </c>
      <c r="B9" s="164"/>
      <c r="C9" s="164"/>
      <c r="D9" s="164"/>
      <c r="E9" s="167"/>
      <c r="F9" s="167"/>
      <c r="G9" s="167"/>
      <c r="H9" s="33" t="s">
        <v>325</v>
      </c>
      <c r="I9" s="35"/>
      <c r="J9" s="9"/>
      <c r="K9" s="9"/>
      <c r="L9" s="9"/>
      <c r="M9" s="164"/>
    </row>
    <row r="10" spans="1:13" ht="16.149999999999999" customHeight="1" x14ac:dyDescent="0.35">
      <c r="A10" s="24"/>
      <c r="B10" s="164"/>
      <c r="C10" s="164"/>
      <c r="D10" s="164"/>
      <c r="E10" s="167"/>
      <c r="F10" s="167"/>
      <c r="G10" s="167"/>
      <c r="H10" s="33" t="s">
        <v>327</v>
      </c>
      <c r="I10" s="36">
        <v>44956</v>
      </c>
      <c r="J10" s="37">
        <v>45022</v>
      </c>
      <c r="K10" s="37">
        <v>45037</v>
      </c>
      <c r="L10" s="37">
        <v>45052</v>
      </c>
      <c r="M10" s="164"/>
    </row>
    <row r="11" spans="1:13" ht="16.149999999999999" customHeight="1" x14ac:dyDescent="0.35">
      <c r="A11" s="24"/>
      <c r="B11" s="164"/>
      <c r="C11" s="164"/>
      <c r="D11" s="164"/>
      <c r="E11" s="167"/>
      <c r="F11" s="167"/>
      <c r="G11" s="167"/>
      <c r="H11" s="33" t="s">
        <v>328</v>
      </c>
      <c r="I11" s="36">
        <v>44959</v>
      </c>
      <c r="J11" s="37">
        <v>45025</v>
      </c>
      <c r="K11" s="37">
        <v>45040</v>
      </c>
      <c r="L11" s="37">
        <v>45055</v>
      </c>
      <c r="M11" s="164"/>
    </row>
    <row r="12" spans="1:13" ht="16.149999999999999" customHeight="1" x14ac:dyDescent="0.35">
      <c r="A12" s="25"/>
      <c r="B12" s="165"/>
      <c r="C12" s="165"/>
      <c r="D12" s="165"/>
      <c r="E12" s="168"/>
      <c r="F12" s="168"/>
      <c r="G12" s="168"/>
      <c r="H12" s="33" t="s">
        <v>329</v>
      </c>
      <c r="I12" s="35"/>
      <c r="J12" s="9"/>
      <c r="K12" s="9"/>
      <c r="L12" s="9"/>
      <c r="M12" s="165"/>
    </row>
    <row r="13" spans="1:13" ht="16.149999999999999" customHeight="1" x14ac:dyDescent="0.35">
      <c r="A13" s="31" t="s">
        <v>330</v>
      </c>
      <c r="B13" s="163" t="s">
        <v>317</v>
      </c>
      <c r="C13" s="163" t="s">
        <v>334</v>
      </c>
      <c r="D13" s="163" t="s">
        <v>319</v>
      </c>
      <c r="E13" s="166" t="s">
        <v>320</v>
      </c>
      <c r="F13" s="166">
        <v>4.5</v>
      </c>
      <c r="G13" s="166">
        <v>6</v>
      </c>
      <c r="H13" s="33" t="s">
        <v>321</v>
      </c>
      <c r="I13" s="34">
        <v>1</v>
      </c>
      <c r="J13" s="33">
        <v>1</v>
      </c>
      <c r="K13" s="33">
        <v>2</v>
      </c>
      <c r="L13" s="33">
        <v>3</v>
      </c>
      <c r="M13" s="163" t="s">
        <v>322</v>
      </c>
    </row>
    <row r="14" spans="1:13" ht="16.149999999999999" customHeight="1" x14ac:dyDescent="0.35">
      <c r="A14" s="31" t="s">
        <v>333</v>
      </c>
      <c r="B14" s="164"/>
      <c r="C14" s="164"/>
      <c r="D14" s="164"/>
      <c r="E14" s="167"/>
      <c r="F14" s="167"/>
      <c r="G14" s="167"/>
      <c r="H14" s="33" t="s">
        <v>325</v>
      </c>
      <c r="I14" s="35"/>
      <c r="J14" s="9"/>
      <c r="K14" s="9"/>
      <c r="L14" s="9"/>
      <c r="M14" s="164"/>
    </row>
    <row r="15" spans="1:13" ht="16.149999999999999" customHeight="1" x14ac:dyDescent="0.35">
      <c r="A15" s="31" t="s">
        <v>335</v>
      </c>
      <c r="B15" s="164"/>
      <c r="C15" s="164"/>
      <c r="D15" s="164"/>
      <c r="E15" s="167"/>
      <c r="F15" s="167"/>
      <c r="G15" s="167"/>
      <c r="H15" s="33" t="s">
        <v>327</v>
      </c>
      <c r="I15" s="36">
        <v>44962</v>
      </c>
      <c r="J15" s="37">
        <v>45028</v>
      </c>
      <c r="K15" s="37">
        <v>45043</v>
      </c>
      <c r="L15" s="37">
        <v>45058</v>
      </c>
      <c r="M15" s="164"/>
    </row>
    <row r="16" spans="1:13" ht="16.149999999999999" customHeight="1" x14ac:dyDescent="0.35">
      <c r="A16" s="24"/>
      <c r="B16" s="164"/>
      <c r="C16" s="164"/>
      <c r="D16" s="164"/>
      <c r="E16" s="167"/>
      <c r="F16" s="167"/>
      <c r="G16" s="167"/>
      <c r="H16" s="33" t="s">
        <v>328</v>
      </c>
      <c r="I16" s="36">
        <v>44967</v>
      </c>
      <c r="J16" s="37">
        <v>45033</v>
      </c>
      <c r="K16" s="37">
        <v>45048</v>
      </c>
      <c r="L16" s="37">
        <v>45063</v>
      </c>
      <c r="M16" s="164"/>
    </row>
    <row r="17" spans="1:13" ht="16.149999999999999" customHeight="1" x14ac:dyDescent="0.35">
      <c r="A17" s="25"/>
      <c r="B17" s="165"/>
      <c r="C17" s="165"/>
      <c r="D17" s="165"/>
      <c r="E17" s="168"/>
      <c r="F17" s="168"/>
      <c r="G17" s="168"/>
      <c r="H17" s="33" t="s">
        <v>329</v>
      </c>
      <c r="I17" s="35"/>
      <c r="J17" s="9"/>
      <c r="K17" s="9"/>
      <c r="L17" s="9"/>
      <c r="M17" s="165"/>
    </row>
    <row r="18" spans="1:13" ht="16.149999999999999" customHeight="1" x14ac:dyDescent="0.35">
      <c r="A18" s="31" t="s">
        <v>336</v>
      </c>
      <c r="B18" s="163" t="s">
        <v>317</v>
      </c>
      <c r="C18" s="163" t="s">
        <v>337</v>
      </c>
      <c r="D18" s="163" t="s">
        <v>319</v>
      </c>
      <c r="E18" s="166" t="s">
        <v>320</v>
      </c>
      <c r="F18" s="166">
        <v>8</v>
      </c>
      <c r="G18" s="166">
        <v>7</v>
      </c>
      <c r="H18" s="33" t="s">
        <v>321</v>
      </c>
      <c r="I18" s="34">
        <v>1</v>
      </c>
      <c r="J18" s="33">
        <v>1</v>
      </c>
      <c r="K18" s="33">
        <v>2</v>
      </c>
      <c r="L18" s="33">
        <v>3</v>
      </c>
      <c r="M18" s="163" t="s">
        <v>338</v>
      </c>
    </row>
    <row r="19" spans="1:13" ht="16.149999999999999" customHeight="1" x14ac:dyDescent="0.35">
      <c r="A19" s="31" t="s">
        <v>339</v>
      </c>
      <c r="B19" s="164"/>
      <c r="C19" s="164"/>
      <c r="D19" s="164"/>
      <c r="E19" s="167"/>
      <c r="F19" s="167"/>
      <c r="G19" s="167"/>
      <c r="H19" s="33" t="s">
        <v>325</v>
      </c>
      <c r="I19" s="35"/>
      <c r="J19" s="9"/>
      <c r="K19" s="9"/>
      <c r="L19" s="9"/>
      <c r="M19" s="164"/>
    </row>
    <row r="20" spans="1:13" ht="31.9" customHeight="1" x14ac:dyDescent="0.35">
      <c r="A20" s="31" t="s">
        <v>340</v>
      </c>
      <c r="B20" s="164"/>
      <c r="C20" s="164"/>
      <c r="D20" s="164"/>
      <c r="E20" s="167"/>
      <c r="F20" s="167"/>
      <c r="G20" s="167"/>
      <c r="H20" s="33" t="s">
        <v>327</v>
      </c>
      <c r="I20" s="36">
        <v>44970</v>
      </c>
      <c r="J20" s="37">
        <v>45063</v>
      </c>
      <c r="K20" s="37">
        <v>45071</v>
      </c>
      <c r="L20" s="37">
        <v>45079</v>
      </c>
      <c r="M20" s="164"/>
    </row>
    <row r="21" spans="1:13" ht="16.149999999999999" customHeight="1" x14ac:dyDescent="0.35">
      <c r="A21" s="31" t="s">
        <v>341</v>
      </c>
      <c r="B21" s="164"/>
      <c r="C21" s="164"/>
      <c r="D21" s="164"/>
      <c r="E21" s="167"/>
      <c r="F21" s="167"/>
      <c r="G21" s="167"/>
      <c r="H21" s="33" t="s">
        <v>328</v>
      </c>
      <c r="I21" s="36">
        <v>44976</v>
      </c>
      <c r="J21" s="37">
        <v>45069</v>
      </c>
      <c r="K21" s="37">
        <v>45077</v>
      </c>
      <c r="L21" s="37">
        <v>45085</v>
      </c>
      <c r="M21" s="164"/>
    </row>
    <row r="22" spans="1:13" ht="16.149999999999999" customHeight="1" x14ac:dyDescent="0.35">
      <c r="A22" s="25"/>
      <c r="B22" s="165"/>
      <c r="C22" s="165"/>
      <c r="D22" s="165"/>
      <c r="E22" s="168"/>
      <c r="F22" s="168"/>
      <c r="G22" s="168"/>
      <c r="H22" s="33" t="s">
        <v>329</v>
      </c>
      <c r="I22" s="35"/>
      <c r="J22" s="9"/>
      <c r="K22" s="9"/>
      <c r="L22" s="9"/>
      <c r="M22" s="165"/>
    </row>
    <row r="23" spans="1:13" ht="16.149999999999999" customHeight="1" x14ac:dyDescent="0.35">
      <c r="A23" s="31" t="s">
        <v>342</v>
      </c>
      <c r="B23" s="163" t="s">
        <v>317</v>
      </c>
      <c r="C23" s="163" t="s">
        <v>343</v>
      </c>
      <c r="D23" s="163" t="s">
        <v>319</v>
      </c>
      <c r="E23" s="166" t="s">
        <v>332</v>
      </c>
      <c r="F23" s="166">
        <v>4.5</v>
      </c>
      <c r="G23" s="166">
        <v>7</v>
      </c>
      <c r="H23" s="33" t="s">
        <v>321</v>
      </c>
      <c r="I23" s="34">
        <v>1</v>
      </c>
      <c r="J23" s="33">
        <v>1</v>
      </c>
      <c r="K23" s="33">
        <v>2</v>
      </c>
      <c r="L23" s="33">
        <v>3</v>
      </c>
      <c r="M23" s="163" t="s">
        <v>322</v>
      </c>
    </row>
    <row r="24" spans="1:13" ht="16.149999999999999" customHeight="1" x14ac:dyDescent="0.35">
      <c r="A24" s="31" t="s">
        <v>344</v>
      </c>
      <c r="B24" s="164"/>
      <c r="C24" s="164"/>
      <c r="D24" s="164"/>
      <c r="E24" s="167"/>
      <c r="F24" s="167"/>
      <c r="G24" s="167"/>
      <c r="H24" s="33" t="s">
        <v>325</v>
      </c>
      <c r="I24" s="35"/>
      <c r="J24" s="9"/>
      <c r="K24" s="9"/>
      <c r="L24" s="9"/>
      <c r="M24" s="164"/>
    </row>
    <row r="25" spans="1:13" ht="16.149999999999999" customHeight="1" x14ac:dyDescent="0.35">
      <c r="A25" s="24"/>
      <c r="B25" s="164"/>
      <c r="C25" s="164"/>
      <c r="D25" s="164"/>
      <c r="E25" s="167"/>
      <c r="F25" s="167"/>
      <c r="G25" s="167"/>
      <c r="H25" s="33" t="s">
        <v>327</v>
      </c>
      <c r="I25" s="36">
        <v>44979</v>
      </c>
      <c r="J25" s="37">
        <v>45073</v>
      </c>
      <c r="K25" s="37">
        <v>45083</v>
      </c>
      <c r="L25" s="37">
        <v>45093</v>
      </c>
      <c r="M25" s="164"/>
    </row>
    <row r="26" spans="1:13" ht="16.149999999999999" customHeight="1" x14ac:dyDescent="0.35">
      <c r="A26" s="24"/>
      <c r="B26" s="164"/>
      <c r="C26" s="164"/>
      <c r="D26" s="164"/>
      <c r="E26" s="167"/>
      <c r="F26" s="167"/>
      <c r="G26" s="167"/>
      <c r="H26" s="33" t="s">
        <v>328</v>
      </c>
      <c r="I26" s="36">
        <v>44985</v>
      </c>
      <c r="J26" s="37">
        <v>45079</v>
      </c>
      <c r="K26" s="37">
        <v>45089</v>
      </c>
      <c r="L26" s="37">
        <v>45099</v>
      </c>
      <c r="M26" s="164"/>
    </row>
    <row r="27" spans="1:13" ht="16.149999999999999" customHeight="1" x14ac:dyDescent="0.35">
      <c r="A27" s="25"/>
      <c r="B27" s="165"/>
      <c r="C27" s="165"/>
      <c r="D27" s="165"/>
      <c r="E27" s="168"/>
      <c r="F27" s="168"/>
      <c r="G27" s="168"/>
      <c r="H27" s="33" t="s">
        <v>329</v>
      </c>
      <c r="I27" s="35"/>
      <c r="J27" s="9"/>
      <c r="K27" s="9"/>
      <c r="L27" s="9"/>
      <c r="M27" s="165"/>
    </row>
    <row r="28" spans="1:13" ht="16.149999999999999" customHeight="1" x14ac:dyDescent="0.35">
      <c r="A28" s="31" t="s">
        <v>345</v>
      </c>
      <c r="B28" s="163" t="s">
        <v>324</v>
      </c>
      <c r="C28" s="163" t="s">
        <v>346</v>
      </c>
      <c r="D28" s="163" t="s">
        <v>319</v>
      </c>
      <c r="E28" s="166" t="s">
        <v>320</v>
      </c>
      <c r="F28" s="166">
        <v>4.08</v>
      </c>
      <c r="G28" s="166">
        <v>6</v>
      </c>
      <c r="H28" s="33" t="s">
        <v>321</v>
      </c>
      <c r="I28" s="34">
        <v>1</v>
      </c>
      <c r="J28" s="33">
        <v>1</v>
      </c>
      <c r="K28" s="33">
        <v>2</v>
      </c>
      <c r="L28" s="33">
        <v>3</v>
      </c>
      <c r="M28" s="163" t="s">
        <v>322</v>
      </c>
    </row>
    <row r="29" spans="1:13" ht="16.149999999999999" customHeight="1" x14ac:dyDescent="0.35">
      <c r="A29" s="31" t="s">
        <v>347</v>
      </c>
      <c r="B29" s="164"/>
      <c r="C29" s="164"/>
      <c r="D29" s="164"/>
      <c r="E29" s="167"/>
      <c r="F29" s="167"/>
      <c r="G29" s="167"/>
      <c r="H29" s="33" t="s">
        <v>325</v>
      </c>
      <c r="I29" s="35"/>
      <c r="J29" s="9"/>
      <c r="K29" s="9"/>
      <c r="L29" s="9"/>
      <c r="M29" s="164"/>
    </row>
    <row r="30" spans="1:13" ht="16.149999999999999" customHeight="1" x14ac:dyDescent="0.35">
      <c r="A30" s="31" t="s">
        <v>348</v>
      </c>
      <c r="B30" s="164"/>
      <c r="C30" s="164"/>
      <c r="D30" s="164"/>
      <c r="E30" s="167"/>
      <c r="F30" s="167"/>
      <c r="G30" s="167"/>
      <c r="H30" s="33" t="s">
        <v>327</v>
      </c>
      <c r="I30" s="36">
        <v>44994</v>
      </c>
      <c r="J30" s="37">
        <v>45087</v>
      </c>
      <c r="K30" s="37">
        <v>45094</v>
      </c>
      <c r="L30" s="37">
        <v>45101</v>
      </c>
      <c r="M30" s="164"/>
    </row>
    <row r="31" spans="1:13" ht="16.149999999999999" customHeight="1" x14ac:dyDescent="0.35">
      <c r="A31" s="31" t="s">
        <v>349</v>
      </c>
      <c r="B31" s="164"/>
      <c r="C31" s="164"/>
      <c r="D31" s="164"/>
      <c r="E31" s="167"/>
      <c r="F31" s="167"/>
      <c r="G31" s="167"/>
      <c r="H31" s="33" t="s">
        <v>328</v>
      </c>
      <c r="I31" s="36">
        <v>44999</v>
      </c>
      <c r="J31" s="37">
        <v>45092</v>
      </c>
      <c r="K31" s="37">
        <v>45099</v>
      </c>
      <c r="L31" s="37">
        <v>45106</v>
      </c>
      <c r="M31" s="164"/>
    </row>
    <row r="32" spans="1:13" ht="16.149999999999999" customHeight="1" x14ac:dyDescent="0.35">
      <c r="A32" s="25"/>
      <c r="B32" s="165"/>
      <c r="C32" s="165"/>
      <c r="D32" s="165"/>
      <c r="E32" s="168"/>
      <c r="F32" s="168"/>
      <c r="G32" s="168"/>
      <c r="H32" s="33" t="s">
        <v>329</v>
      </c>
      <c r="I32" s="35"/>
      <c r="J32" s="9"/>
      <c r="K32" s="9"/>
      <c r="L32" s="9"/>
      <c r="M32" s="165"/>
    </row>
    <row r="33" spans="1:13" ht="16.149999999999999" customHeight="1" x14ac:dyDescent="0.35">
      <c r="A33" s="163" t="s">
        <v>350</v>
      </c>
      <c r="B33" s="163" t="s">
        <v>324</v>
      </c>
      <c r="C33" s="163" t="s">
        <v>351</v>
      </c>
      <c r="D33" s="163" t="s">
        <v>352</v>
      </c>
      <c r="E33" s="166" t="s">
        <v>320</v>
      </c>
      <c r="F33" s="166" t="s">
        <v>322</v>
      </c>
      <c r="G33" s="166">
        <v>5</v>
      </c>
      <c r="H33" s="33" t="s">
        <v>321</v>
      </c>
      <c r="I33" s="34">
        <v>1</v>
      </c>
      <c r="J33" s="33">
        <v>1</v>
      </c>
      <c r="K33" s="33">
        <v>2</v>
      </c>
      <c r="L33" s="33">
        <v>3</v>
      </c>
      <c r="M33" s="163" t="s">
        <v>322</v>
      </c>
    </row>
    <row r="34" spans="1:13" ht="16.149999999999999" customHeight="1" x14ac:dyDescent="0.35">
      <c r="A34" s="164"/>
      <c r="B34" s="164"/>
      <c r="C34" s="164"/>
      <c r="D34" s="164"/>
      <c r="E34" s="167"/>
      <c r="F34" s="167"/>
      <c r="G34" s="167"/>
      <c r="H34" s="33" t="s">
        <v>325</v>
      </c>
      <c r="I34" s="35"/>
      <c r="J34" s="9"/>
      <c r="K34" s="9"/>
      <c r="L34" s="9"/>
      <c r="M34" s="164"/>
    </row>
    <row r="35" spans="1:13" ht="16.149999999999999" customHeight="1" x14ac:dyDescent="0.35">
      <c r="A35" s="164"/>
      <c r="B35" s="164"/>
      <c r="C35" s="164"/>
      <c r="D35" s="164"/>
      <c r="E35" s="167"/>
      <c r="F35" s="167"/>
      <c r="G35" s="167"/>
      <c r="H35" s="33" t="s">
        <v>327</v>
      </c>
      <c r="I35" s="36">
        <v>45001</v>
      </c>
      <c r="J35" s="37">
        <v>45106</v>
      </c>
      <c r="K35" s="37">
        <v>45114</v>
      </c>
      <c r="L35" s="37">
        <v>45122</v>
      </c>
      <c r="M35" s="164"/>
    </row>
    <row r="36" spans="1:13" ht="16.149999999999999" customHeight="1" x14ac:dyDescent="0.35">
      <c r="A36" s="164"/>
      <c r="B36" s="164"/>
      <c r="C36" s="164"/>
      <c r="D36" s="164"/>
      <c r="E36" s="167"/>
      <c r="F36" s="167"/>
      <c r="G36" s="167"/>
      <c r="H36" s="33" t="s">
        <v>328</v>
      </c>
      <c r="I36" s="36">
        <v>45005</v>
      </c>
      <c r="J36" s="37">
        <v>45110</v>
      </c>
      <c r="K36" s="37">
        <v>45118</v>
      </c>
      <c r="L36" s="36">
        <v>45126</v>
      </c>
      <c r="M36" s="164"/>
    </row>
    <row r="37" spans="1:13" ht="16.149999999999999" customHeight="1" x14ac:dyDescent="0.35">
      <c r="A37" s="165"/>
      <c r="B37" s="165"/>
      <c r="C37" s="165"/>
      <c r="D37" s="165"/>
      <c r="E37" s="168"/>
      <c r="F37" s="168"/>
      <c r="G37" s="168"/>
      <c r="H37" s="33" t="s">
        <v>329</v>
      </c>
      <c r="I37" s="34">
        <v>25</v>
      </c>
      <c r="J37" s="33">
        <v>25</v>
      </c>
      <c r="K37" s="33">
        <v>25</v>
      </c>
      <c r="L37" s="33">
        <v>25</v>
      </c>
      <c r="M37" s="165"/>
    </row>
  </sheetData>
  <mergeCells count="49">
    <mergeCell ref="B33:B37"/>
    <mergeCell ref="A33:A37"/>
    <mergeCell ref="D3:D7"/>
    <mergeCell ref="E33:E37"/>
    <mergeCell ref="C23:C27"/>
    <mergeCell ref="B8:B12"/>
    <mergeCell ref="B28:B32"/>
    <mergeCell ref="B23:B27"/>
    <mergeCell ref="C3:C7"/>
    <mergeCell ref="E8:E12"/>
    <mergeCell ref="M3:M7"/>
    <mergeCell ref="D8:D12"/>
    <mergeCell ref="G18:G22"/>
    <mergeCell ref="C18:C22"/>
    <mergeCell ref="F3:F7"/>
    <mergeCell ref="M18:M22"/>
    <mergeCell ref="G13:G17"/>
    <mergeCell ref="E18:E22"/>
    <mergeCell ref="C13:C17"/>
    <mergeCell ref="M13:M17"/>
    <mergeCell ref="F13:F17"/>
    <mergeCell ref="G8:G12"/>
    <mergeCell ref="D18:D22"/>
    <mergeCell ref="E13:E17"/>
    <mergeCell ref="E3:E7"/>
    <mergeCell ref="G3:G7"/>
    <mergeCell ref="F28:F32"/>
    <mergeCell ref="F18:F22"/>
    <mergeCell ref="B13:B17"/>
    <mergeCell ref="D28:D32"/>
    <mergeCell ref="B18:B22"/>
    <mergeCell ref="C28:C32"/>
    <mergeCell ref="D13:D17"/>
    <mergeCell ref="M23:M27"/>
    <mergeCell ref="E28:E32"/>
    <mergeCell ref="C8:C12"/>
    <mergeCell ref="D23:D27"/>
    <mergeCell ref="D33:D37"/>
    <mergeCell ref="G28:G32"/>
    <mergeCell ref="F33:F37"/>
    <mergeCell ref="M28:M32"/>
    <mergeCell ref="F8:F12"/>
    <mergeCell ref="M8:M12"/>
    <mergeCell ref="E23:E27"/>
    <mergeCell ref="M33:M37"/>
    <mergeCell ref="G33:G37"/>
    <mergeCell ref="F23:F27"/>
    <mergeCell ref="G23:G27"/>
    <mergeCell ref="C33:C37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828125" style="123" customWidth="1"/>
    <col min="2" max="2" width="15" style="123" customWidth="1"/>
    <col min="3" max="3" width="16.765625" style="123" customWidth="1"/>
    <col min="4" max="4" width="25.15234375" style="123" customWidth="1"/>
    <col min="5" max="5" width="16.765625" style="123" customWidth="1"/>
    <col min="10" max="10" width="10.765625" style="123" customWidth="1"/>
    <col min="12" max="13" width="18.3828125" style="123" customWidth="1"/>
    <col min="14" max="14" width="16.3828125" style="123" customWidth="1"/>
    <col min="15" max="15" width="13.3828125" style="123" customWidth="1"/>
  </cols>
  <sheetData>
    <row r="1" spans="1:16" ht="14.15" customHeight="1" x14ac:dyDescent="0.35">
      <c r="A1" s="8" t="s">
        <v>353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6" ht="14.25" customHeight="1" x14ac:dyDescent="0.35">
      <c r="A3" s="8" t="s">
        <v>354</v>
      </c>
      <c r="B3" s="8"/>
      <c r="C3" s="8"/>
      <c r="D3" s="8"/>
      <c r="E3" s="8"/>
      <c r="F3" s="8"/>
      <c r="G3" s="8"/>
      <c r="H3" s="8"/>
      <c r="I3" s="8"/>
      <c r="J3" s="8"/>
    </row>
    <row r="5" spans="1:16" ht="16.149999999999999" customHeight="1" x14ac:dyDescent="0.35">
      <c r="A5" s="27" t="s">
        <v>307</v>
      </c>
      <c r="B5" s="28" t="s">
        <v>306</v>
      </c>
      <c r="C5" s="28" t="s">
        <v>355</v>
      </c>
      <c r="D5" s="28" t="s">
        <v>356</v>
      </c>
      <c r="E5" s="28" t="s">
        <v>357</v>
      </c>
    </row>
    <row r="6" spans="1:16" ht="31.9" customHeight="1" x14ac:dyDescent="0.35">
      <c r="A6" s="20" t="s">
        <v>334</v>
      </c>
      <c r="B6" s="17" t="s">
        <v>358</v>
      </c>
      <c r="C6" s="17" t="s">
        <v>359</v>
      </c>
      <c r="D6" s="17" t="s">
        <v>360</v>
      </c>
      <c r="E6" s="17" t="s">
        <v>361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6.149999999999999" customHeight="1" x14ac:dyDescent="0.35">
      <c r="A7" s="20" t="s">
        <v>362</v>
      </c>
      <c r="B7" s="17" t="s">
        <v>358</v>
      </c>
      <c r="C7" s="17" t="s">
        <v>363</v>
      </c>
      <c r="D7" s="17" t="s">
        <v>360</v>
      </c>
      <c r="E7" s="17" t="s">
        <v>322</v>
      </c>
    </row>
    <row r="8" spans="1:16" ht="16.149999999999999" customHeight="1" x14ac:dyDescent="0.35">
      <c r="A8" s="20" t="s">
        <v>364</v>
      </c>
      <c r="B8" s="17" t="s">
        <v>365</v>
      </c>
      <c r="C8" s="17" t="s">
        <v>366</v>
      </c>
      <c r="D8" s="17" t="s">
        <v>367</v>
      </c>
      <c r="E8" s="17" t="s">
        <v>322</v>
      </c>
    </row>
    <row r="9" spans="1:16" ht="30.65" customHeight="1" x14ac:dyDescent="0.35">
      <c r="A9" s="20" t="s">
        <v>337</v>
      </c>
      <c r="B9" s="17" t="s">
        <v>365</v>
      </c>
      <c r="C9" s="17" t="s">
        <v>368</v>
      </c>
      <c r="D9" s="17" t="s">
        <v>369</v>
      </c>
      <c r="E9" s="17"/>
    </row>
    <row r="10" spans="1:16" ht="31.9" customHeight="1" x14ac:dyDescent="0.35">
      <c r="A10" s="20" t="s">
        <v>343</v>
      </c>
      <c r="B10" s="17" t="s">
        <v>358</v>
      </c>
      <c r="C10" s="17" t="s">
        <v>370</v>
      </c>
      <c r="D10" s="17" t="s">
        <v>360</v>
      </c>
      <c r="E10" s="17" t="s">
        <v>322</v>
      </c>
    </row>
    <row r="11" spans="1:16" ht="47.65" customHeight="1" x14ac:dyDescent="0.35">
      <c r="A11" s="21" t="s">
        <v>371</v>
      </c>
      <c r="B11" s="18" t="s">
        <v>372</v>
      </c>
      <c r="C11" s="18" t="s">
        <v>373</v>
      </c>
      <c r="D11" s="18" t="s">
        <v>374</v>
      </c>
      <c r="E11" s="18" t="s">
        <v>322</v>
      </c>
    </row>
    <row r="12" spans="1:16" ht="47.65" customHeight="1" x14ac:dyDescent="0.35">
      <c r="A12" s="20" t="s">
        <v>346</v>
      </c>
      <c r="B12" s="17">
        <v>304</v>
      </c>
      <c r="C12" s="17" t="s">
        <v>375</v>
      </c>
      <c r="D12" s="17" t="s">
        <v>369</v>
      </c>
      <c r="E12" s="17"/>
    </row>
    <row r="13" spans="1:16" ht="15.75" customHeight="1" x14ac:dyDescent="0.35">
      <c r="A13" s="171" t="s">
        <v>351</v>
      </c>
      <c r="B13" s="171">
        <v>101</v>
      </c>
      <c r="C13" s="171" t="s">
        <v>376</v>
      </c>
      <c r="D13" s="22" t="s">
        <v>377</v>
      </c>
      <c r="E13" s="171"/>
    </row>
    <row r="14" spans="1:16" ht="47.65" customHeight="1" x14ac:dyDescent="0.35">
      <c r="A14" s="172"/>
      <c r="B14" s="172"/>
      <c r="C14" s="172"/>
      <c r="D14" s="17" t="s">
        <v>378</v>
      </c>
      <c r="E14" s="172"/>
    </row>
    <row r="15" spans="1:16" ht="16.149999999999999" customHeight="1" x14ac:dyDescent="0.35">
      <c r="A15" s="20" t="s">
        <v>379</v>
      </c>
      <c r="B15" s="17"/>
      <c r="C15" s="17" t="s">
        <v>380</v>
      </c>
      <c r="D15" s="17"/>
      <c r="E15" s="17"/>
    </row>
    <row r="18" spans="1:6" ht="14.25" customHeight="1" x14ac:dyDescent="0.35">
      <c r="A18" s="7"/>
    </row>
    <row r="19" spans="1:6" ht="14.25" customHeight="1" x14ac:dyDescent="0.35">
      <c r="A19" s="8" t="s">
        <v>381</v>
      </c>
    </row>
    <row r="20" spans="1:6" ht="16.149999999999999" customHeight="1" x14ac:dyDescent="0.35">
      <c r="A20" s="27" t="s">
        <v>307</v>
      </c>
      <c r="B20" s="29" t="s">
        <v>382</v>
      </c>
      <c r="C20" s="29" t="s">
        <v>383</v>
      </c>
      <c r="D20" s="29" t="s">
        <v>384</v>
      </c>
      <c r="E20" s="29" t="s">
        <v>385</v>
      </c>
      <c r="F20" s="29" t="s">
        <v>249</v>
      </c>
    </row>
    <row r="21" spans="1:6" ht="14.25" customHeight="1" x14ac:dyDescent="0.35">
      <c r="A21" s="180" t="s">
        <v>343</v>
      </c>
      <c r="B21" s="181"/>
      <c r="C21" s="181"/>
      <c r="D21" s="181"/>
      <c r="E21" s="181"/>
      <c r="F21" s="182"/>
    </row>
    <row r="22" spans="1:6" ht="16.149999999999999" customHeight="1" x14ac:dyDescent="0.35">
      <c r="A22" s="186" t="s">
        <v>343</v>
      </c>
      <c r="B22" s="9" t="s">
        <v>386</v>
      </c>
      <c r="C22" s="9" t="s">
        <v>358</v>
      </c>
      <c r="D22" s="10">
        <v>44869.541666666664</v>
      </c>
      <c r="E22" s="9"/>
      <c r="F22" s="9"/>
    </row>
    <row r="23" spans="1:6" ht="16.149999999999999" customHeight="1" x14ac:dyDescent="0.35">
      <c r="A23" s="187"/>
      <c r="B23" s="9" t="s">
        <v>387</v>
      </c>
      <c r="C23" s="9"/>
      <c r="D23" s="10">
        <v>44869.833333333336</v>
      </c>
      <c r="E23" s="11">
        <v>7</v>
      </c>
      <c r="F23" s="9"/>
    </row>
    <row r="24" spans="1:6" ht="16.149999999999999" customHeight="1" x14ac:dyDescent="0.35">
      <c r="A24" s="187"/>
      <c r="B24" s="9" t="s">
        <v>388</v>
      </c>
      <c r="C24" s="9"/>
      <c r="D24" s="10">
        <v>44869.916666666664</v>
      </c>
      <c r="E24" s="11">
        <v>2</v>
      </c>
      <c r="F24" s="9"/>
    </row>
    <row r="25" spans="1:6" ht="16.149999999999999" customHeight="1" x14ac:dyDescent="0.35">
      <c r="A25" s="187"/>
      <c r="B25" s="9" t="s">
        <v>343</v>
      </c>
      <c r="C25" s="9"/>
      <c r="D25" s="9"/>
      <c r="E25" s="9"/>
      <c r="F25" s="9"/>
    </row>
    <row r="26" spans="1:6" ht="16.149999999999999" customHeight="1" x14ac:dyDescent="0.35">
      <c r="A26" s="188"/>
      <c r="B26" s="9"/>
      <c r="C26" s="9"/>
      <c r="D26" s="9"/>
      <c r="E26" s="9"/>
      <c r="F26" s="9"/>
    </row>
    <row r="27" spans="1:6" ht="14.25" customHeight="1" x14ac:dyDescent="0.35">
      <c r="A27" s="177" t="s">
        <v>371</v>
      </c>
      <c r="B27" s="178"/>
      <c r="C27" s="178"/>
      <c r="D27" s="178"/>
      <c r="E27" s="178"/>
      <c r="F27" s="179"/>
    </row>
    <row r="28" spans="1:6" ht="14.25" customHeight="1" x14ac:dyDescent="0.35">
      <c r="A28" s="169" t="s">
        <v>389</v>
      </c>
      <c r="B28" s="9" t="s">
        <v>390</v>
      </c>
      <c r="C28" s="9" t="s">
        <v>391</v>
      </c>
      <c r="D28" s="10">
        <v>44870.541666666664</v>
      </c>
      <c r="E28" s="9"/>
      <c r="F28" s="9"/>
    </row>
    <row r="29" spans="1:6" ht="14.25" customHeight="1" x14ac:dyDescent="0.35">
      <c r="A29" s="176"/>
      <c r="B29" s="9" t="s">
        <v>386</v>
      </c>
      <c r="C29" s="9"/>
      <c r="D29" s="10">
        <v>44870.875</v>
      </c>
      <c r="E29" s="11">
        <v>8</v>
      </c>
      <c r="F29" s="9"/>
    </row>
    <row r="30" spans="1:6" ht="14.25" customHeight="1" x14ac:dyDescent="0.35">
      <c r="A30" s="176"/>
      <c r="B30" s="9" t="s">
        <v>392</v>
      </c>
      <c r="C30" s="9"/>
      <c r="D30" s="10">
        <v>44871.125</v>
      </c>
      <c r="E30" s="11">
        <v>6</v>
      </c>
      <c r="F30" s="9"/>
    </row>
    <row r="31" spans="1:6" ht="14.25" customHeight="1" x14ac:dyDescent="0.35">
      <c r="A31" s="176"/>
      <c r="B31" s="9" t="s">
        <v>393</v>
      </c>
      <c r="C31" s="9"/>
      <c r="D31" s="10">
        <v>44871.333333333336</v>
      </c>
      <c r="E31" s="11">
        <v>5</v>
      </c>
      <c r="F31" s="9"/>
    </row>
    <row r="32" spans="1:6" ht="14.25" customHeight="1" x14ac:dyDescent="0.35">
      <c r="A32" s="176"/>
      <c r="B32" s="9" t="s">
        <v>394</v>
      </c>
      <c r="C32" s="9"/>
      <c r="D32" s="10">
        <v>44871.583333333336</v>
      </c>
      <c r="E32" s="11">
        <v>6</v>
      </c>
      <c r="F32" s="9"/>
    </row>
    <row r="33" spans="1:6" ht="14.25" customHeight="1" x14ac:dyDescent="0.35">
      <c r="A33" s="176"/>
      <c r="B33" s="9" t="s">
        <v>395</v>
      </c>
      <c r="C33" s="9"/>
      <c r="D33" s="12">
        <v>44871.666666666664</v>
      </c>
      <c r="E33" s="13">
        <v>2</v>
      </c>
      <c r="F33" s="14" t="s">
        <v>396</v>
      </c>
    </row>
    <row r="34" spans="1:6" ht="14.25" customHeight="1" x14ac:dyDescent="0.35">
      <c r="A34" s="170"/>
      <c r="B34" s="9" t="s">
        <v>397</v>
      </c>
      <c r="C34" s="9"/>
      <c r="D34" s="10">
        <v>44871.791666666664</v>
      </c>
      <c r="E34" s="11">
        <v>5</v>
      </c>
      <c r="F34" s="9"/>
    </row>
    <row r="35" spans="1:6" ht="14.25" customHeight="1" x14ac:dyDescent="0.35">
      <c r="A35" s="15"/>
      <c r="B35" s="9" t="s">
        <v>398</v>
      </c>
      <c r="C35" s="9"/>
      <c r="D35" s="12">
        <v>44872.791666666664</v>
      </c>
      <c r="E35" s="13">
        <v>24</v>
      </c>
      <c r="F35" s="14" t="s">
        <v>396</v>
      </c>
    </row>
    <row r="36" spans="1:6" ht="14.25" customHeight="1" x14ac:dyDescent="0.35">
      <c r="A36" s="173"/>
      <c r="B36" s="174"/>
      <c r="C36" s="174"/>
      <c r="D36" s="174"/>
      <c r="E36" s="174"/>
      <c r="F36" s="175"/>
    </row>
    <row r="37" spans="1:6" ht="14.25" customHeight="1" x14ac:dyDescent="0.35">
      <c r="A37" s="169" t="s">
        <v>399</v>
      </c>
      <c r="B37" s="9" t="s">
        <v>400</v>
      </c>
      <c r="C37" s="189" t="s">
        <v>391</v>
      </c>
      <c r="D37" s="10">
        <v>44871.791666666664</v>
      </c>
      <c r="E37" s="9"/>
      <c r="F37" s="9"/>
    </row>
    <row r="38" spans="1:6" ht="14.25" customHeight="1" x14ac:dyDescent="0.35">
      <c r="A38" s="176"/>
      <c r="B38" s="9" t="s">
        <v>401</v>
      </c>
      <c r="C38" s="190"/>
      <c r="D38" s="10">
        <v>44872.208333333336</v>
      </c>
      <c r="E38" s="11">
        <v>10</v>
      </c>
      <c r="F38" s="9"/>
    </row>
    <row r="39" spans="1:6" ht="14.25" customHeight="1" x14ac:dyDescent="0.35">
      <c r="A39" s="176"/>
      <c r="B39" s="9" t="s">
        <v>402</v>
      </c>
      <c r="C39" s="190"/>
      <c r="D39" s="10">
        <v>44872.458333333336</v>
      </c>
      <c r="E39" s="11">
        <v>6</v>
      </c>
      <c r="F39" s="9"/>
    </row>
    <row r="40" spans="1:6" ht="14.25" customHeight="1" x14ac:dyDescent="0.35">
      <c r="A40" s="176"/>
      <c r="B40" s="9" t="s">
        <v>403</v>
      </c>
      <c r="C40" s="190"/>
      <c r="D40" s="10">
        <v>44872.666666666664</v>
      </c>
      <c r="E40" s="11">
        <v>5</v>
      </c>
      <c r="F40" s="9"/>
    </row>
    <row r="41" spans="1:6" ht="14.25" customHeight="1" x14ac:dyDescent="0.35">
      <c r="A41" s="176"/>
      <c r="B41" s="9" t="s">
        <v>404</v>
      </c>
      <c r="C41" s="190"/>
      <c r="D41" s="10">
        <v>44872.916666666664</v>
      </c>
      <c r="E41" s="11">
        <v>6</v>
      </c>
      <c r="F41" s="9"/>
    </row>
    <row r="42" spans="1:6" ht="14.25" customHeight="1" x14ac:dyDescent="0.35">
      <c r="A42" s="176"/>
      <c r="B42" s="9" t="s">
        <v>405</v>
      </c>
      <c r="C42" s="190"/>
      <c r="D42" s="10">
        <v>44873</v>
      </c>
      <c r="E42" s="11">
        <v>2</v>
      </c>
      <c r="F42" s="9"/>
    </row>
    <row r="43" spans="1:6" ht="14.25" customHeight="1" x14ac:dyDescent="0.35">
      <c r="A43" s="176"/>
      <c r="B43" s="9" t="s">
        <v>397</v>
      </c>
      <c r="C43" s="191"/>
      <c r="D43" s="10">
        <v>44873.208333333336</v>
      </c>
      <c r="E43" s="11">
        <v>5</v>
      </c>
      <c r="F43" s="9"/>
    </row>
    <row r="44" spans="1:6" ht="14.25" customHeight="1" x14ac:dyDescent="0.35">
      <c r="A44" s="170"/>
      <c r="B44" s="9" t="s">
        <v>398</v>
      </c>
      <c r="C44" s="9"/>
      <c r="D44" s="12">
        <v>44874.208333333336</v>
      </c>
      <c r="E44" s="13">
        <v>24</v>
      </c>
      <c r="F44" s="14" t="s">
        <v>396</v>
      </c>
    </row>
    <row r="45" spans="1:6" ht="14.25" customHeight="1" x14ac:dyDescent="0.35">
      <c r="A45" s="173"/>
      <c r="B45" s="174"/>
      <c r="C45" s="174"/>
      <c r="D45" s="174"/>
      <c r="E45" s="174"/>
      <c r="F45" s="175"/>
    </row>
    <row r="46" spans="1:6" ht="14.25" customHeight="1" x14ac:dyDescent="0.35">
      <c r="A46" s="169" t="s">
        <v>406</v>
      </c>
      <c r="B46" s="9" t="s">
        <v>400</v>
      </c>
      <c r="C46" s="9" t="s">
        <v>365</v>
      </c>
      <c r="D46" s="10">
        <v>44873.333333333336</v>
      </c>
      <c r="E46" s="9"/>
      <c r="F46" s="9"/>
    </row>
    <row r="47" spans="1:6" ht="14.25" customHeight="1" x14ac:dyDescent="0.35">
      <c r="A47" s="176"/>
      <c r="B47" s="9" t="s">
        <v>407</v>
      </c>
      <c r="C47" s="9"/>
      <c r="D47" s="10">
        <v>44874.333333333336</v>
      </c>
      <c r="E47" s="11">
        <v>24</v>
      </c>
      <c r="F47" s="9"/>
    </row>
    <row r="48" spans="1:6" ht="14.25" customHeight="1" x14ac:dyDescent="0.35">
      <c r="A48" s="176"/>
      <c r="B48" s="9" t="s">
        <v>405</v>
      </c>
      <c r="C48" s="9"/>
      <c r="D48" s="10">
        <v>44874.583333333336</v>
      </c>
      <c r="E48" s="11">
        <v>6</v>
      </c>
      <c r="F48" s="9"/>
    </row>
    <row r="49" spans="1:6" ht="14.25" customHeight="1" x14ac:dyDescent="0.35">
      <c r="A49" s="170"/>
      <c r="B49" s="9" t="s">
        <v>408</v>
      </c>
      <c r="C49" s="9"/>
      <c r="D49" s="10">
        <v>44874.666666666664</v>
      </c>
      <c r="E49" s="11">
        <v>2</v>
      </c>
      <c r="F49" s="9"/>
    </row>
    <row r="50" spans="1:6" ht="14.25" customHeight="1" x14ac:dyDescent="0.35">
      <c r="A50" s="169" t="s">
        <v>409</v>
      </c>
      <c r="B50" s="9" t="s">
        <v>400</v>
      </c>
      <c r="C50" s="16">
        <v>304</v>
      </c>
      <c r="D50" s="10">
        <v>44875.666666666664</v>
      </c>
      <c r="E50" s="11">
        <v>24</v>
      </c>
      <c r="F50" s="9"/>
    </row>
    <row r="51" spans="1:6" ht="14.25" customHeight="1" x14ac:dyDescent="0.35">
      <c r="A51" s="170"/>
      <c r="B51" s="9" t="s">
        <v>405</v>
      </c>
      <c r="C51" s="9"/>
      <c r="D51" s="10">
        <v>44876.083333333336</v>
      </c>
      <c r="E51" s="11">
        <v>10</v>
      </c>
      <c r="F51" s="9"/>
    </row>
    <row r="52" spans="1:6" ht="14.25" customHeight="1" x14ac:dyDescent="0.35">
      <c r="A52" s="183"/>
      <c r="B52" s="184"/>
      <c r="C52" s="184"/>
      <c r="D52" s="184"/>
      <c r="E52" s="184"/>
      <c r="F52" s="185"/>
    </row>
    <row r="53" spans="1:6" ht="14.25" customHeight="1" x14ac:dyDescent="0.35">
      <c r="A53" s="169" t="s">
        <v>410</v>
      </c>
      <c r="B53" s="9" t="s">
        <v>411</v>
      </c>
      <c r="C53" s="9" t="s">
        <v>412</v>
      </c>
      <c r="D53" s="10">
        <v>44878.375</v>
      </c>
      <c r="E53" s="9"/>
      <c r="F53" s="9"/>
    </row>
    <row r="54" spans="1:6" ht="14.25" customHeight="1" x14ac:dyDescent="0.35">
      <c r="A54" s="170"/>
      <c r="B54" s="9" t="s">
        <v>410</v>
      </c>
      <c r="C54" s="9"/>
      <c r="D54" s="10">
        <v>44878.791666666664</v>
      </c>
      <c r="E54" s="11">
        <v>10</v>
      </c>
      <c r="F54" s="9"/>
    </row>
  </sheetData>
  <mergeCells count="16">
    <mergeCell ref="A53:A54"/>
    <mergeCell ref="A13:A14"/>
    <mergeCell ref="B13:B14"/>
    <mergeCell ref="E13:E14"/>
    <mergeCell ref="C13:C14"/>
    <mergeCell ref="A50:A51"/>
    <mergeCell ref="A45:F45"/>
    <mergeCell ref="A46:A49"/>
    <mergeCell ref="A27:F27"/>
    <mergeCell ref="A21:F21"/>
    <mergeCell ref="A52:F52"/>
    <mergeCell ref="A22:A26"/>
    <mergeCell ref="C37:C43"/>
    <mergeCell ref="A37:A44"/>
    <mergeCell ref="A36:F36"/>
    <mergeCell ref="A28:A34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21F883C54B94694929F815BA185C9" ma:contentTypeVersion="11" ma:contentTypeDescription="Create a new document." ma:contentTypeScope="" ma:versionID="5e0cd6443c939352be9a92e583875f92">
  <xsd:schema xmlns:xsd="http://www.w3.org/2001/XMLSchema" xmlns:xs="http://www.w3.org/2001/XMLSchema" xmlns:p="http://schemas.microsoft.com/office/2006/metadata/properties" xmlns:ns2="6522db08-84f5-415d-8452-9211b1d283f4" xmlns:ns3="7c21c56c-e6bd-41a6-be35-8ca62b345eb1" targetNamespace="http://schemas.microsoft.com/office/2006/metadata/properties" ma:root="true" ma:fieldsID="a7d1dd999a39232be0e32f06c0e66f39" ns2:_="" ns3:_="">
    <xsd:import namespace="6522db08-84f5-415d-8452-9211b1d283f4"/>
    <xsd:import namespace="7c21c56c-e6bd-41a6-be35-8ca62b345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2db08-84f5-415d-8452-9211b1d28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87fba6-b3a6-4e2a-943c-006c67f293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c56c-e6bd-41a6-be35-8ca62b345e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f81fce-733d-481c-ad58-5ff73ce02346}" ma:internalName="TaxCatchAll" ma:showField="CatchAllData" ma:web="7c21c56c-e6bd-41a6-be35-8ca62b345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22db08-84f5-415d-8452-9211b1d283f4">
      <Terms xmlns="http://schemas.microsoft.com/office/infopath/2007/PartnerControls"/>
    </lcf76f155ced4ddcb4097134ff3c332f>
    <TaxCatchAll xmlns="7c21c56c-e6bd-41a6-be35-8ca62b345eb1" xsi:nil="true"/>
  </documentManagement>
</p:properties>
</file>

<file path=customXml/itemProps1.xml><?xml version="1.0" encoding="utf-8"?>
<ds:datastoreItem xmlns:ds="http://schemas.openxmlformats.org/officeDocument/2006/customXml" ds:itemID="{C9DA62FB-15EB-40D4-AFC0-33C2158F9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12C5BB-3123-48DD-BB9B-2AA7A52C6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2db08-84f5-415d-8452-9211b1d283f4"/>
    <ds:schemaRef ds:uri="7c21c56c-e6bd-41a6-be35-8ca62b345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F3E5F-5F30-4B36-AB6E-92B211D6C458}">
  <ds:schemaRefs>
    <ds:schemaRef ds:uri="http://schemas.microsoft.com/office/2006/documentManagement/types"/>
    <ds:schemaRef ds:uri="http://purl.org/dc/dcmitype/"/>
    <ds:schemaRef ds:uri="7c21c56c-e6bd-41a6-be35-8ca62b345eb1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522db08-84f5-415d-8452-9211b1d28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13</vt:i4>
      </vt:variant>
    </vt:vector>
  </HeadingPairs>
  <TitlesOfParts>
    <vt:vector size="18" baseType="lpstr">
      <vt:lpstr>Full Documentation List (2)</vt:lpstr>
      <vt:lpstr>Project Plan</vt:lpstr>
      <vt:lpstr>已完成-行动项</vt:lpstr>
      <vt:lpstr>PV排产计划表-原始</vt:lpstr>
      <vt:lpstr>15 kg 毒理批排产计划表-221115 已完成 9.38</vt:lpstr>
      <vt:lpstr>'Full Documentation List (2)'!OLE_LINK10</vt:lpstr>
      <vt:lpstr>'Full Documentation List (2)'!OLE_LINK13</vt:lpstr>
      <vt:lpstr>'Full Documentation List (2)'!OLE_LINK14</vt:lpstr>
      <vt:lpstr>'Full Documentation List (2)'!OLE_LINK18</vt:lpstr>
      <vt:lpstr>'Full Documentation List (2)'!OLE_LINK23</vt:lpstr>
      <vt:lpstr>'Full Documentation List (2)'!OLE_LINK24</vt:lpstr>
      <vt:lpstr>'Full Documentation List (2)'!OLE_LINK25</vt:lpstr>
      <vt:lpstr>'Full Documentation List (2)'!OLE_LINK26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Sam Wang</cp:lastModifiedBy>
  <cp:revision/>
  <dcterms:created xsi:type="dcterms:W3CDTF">2006-09-16T00:00:00Z</dcterms:created>
  <dcterms:modified xsi:type="dcterms:W3CDTF">2026-10-12T09:46:23Z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0x01010017221F883C54B94694929F815BA185C9</vt:lpwstr>
  </property>
  <property fmtid="{D5CDD505-2E9C-101B-9397-08002B2CF9AE}" pid="3" name="MediaServiceImageTags">
    <vt:lpwstr/>
  </property>
</Properties>
</file>